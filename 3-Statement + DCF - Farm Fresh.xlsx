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ob\Job Prep\Farm Fresh Valuation\"/>
    </mc:Choice>
  </mc:AlternateContent>
  <xr:revisionPtr revIDLastSave="0" documentId="13_ncr:1_{BAB000B5-7260-438E-9FC3-219E0FE9C0D6}" xr6:coauthVersionLast="47" xr6:coauthVersionMax="47" xr10:uidLastSave="{00000000-0000-0000-0000-000000000000}"/>
  <bookViews>
    <workbookView xWindow="-25710" yWindow="-110" windowWidth="25820" windowHeight="13900" activeTab="2" xr2:uid="{89EFD663-1CD3-4C34-91B7-61AFBC1B60C8}"/>
  </bookViews>
  <sheets>
    <sheet name="Assumption" sheetId="3" r:id="rId1"/>
    <sheet name="Grouping OR Separating" sheetId="2" r:id="rId2"/>
    <sheet name="3-Statement" sheetId="1" r:id="rId3"/>
    <sheet name="DCF" sheetId="4" r:id="rId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6" i="4" l="1"/>
  <c r="P26" i="4"/>
  <c r="Q26" i="4"/>
  <c r="R26" i="4"/>
  <c r="S26" i="4"/>
  <c r="T26" i="4"/>
  <c r="U26" i="4"/>
  <c r="N26" i="4"/>
  <c r="O24" i="4"/>
  <c r="N24" i="4"/>
  <c r="P25" i="4"/>
  <c r="O25" i="4"/>
  <c r="Q25" i="4"/>
  <c r="R25" i="4"/>
  <c r="S25" i="4"/>
  <c r="T25" i="4"/>
  <c r="U25" i="4"/>
  <c r="N25" i="4"/>
  <c r="D30" i="4"/>
  <c r="D5" i="4"/>
  <c r="D54" i="4"/>
  <c r="D22" i="4"/>
  <c r="G141" i="1"/>
  <c r="D112" i="1"/>
  <c r="F108" i="1"/>
  <c r="G108" i="1" s="1"/>
  <c r="H108" i="1" s="1"/>
  <c r="I108" i="1" s="1"/>
  <c r="J108" i="1" s="1"/>
  <c r="K108" i="1" s="1"/>
  <c r="E108" i="1"/>
  <c r="D108" i="1"/>
  <c r="E48" i="1"/>
  <c r="F48" i="1"/>
  <c r="D48" i="1"/>
  <c r="E40" i="1"/>
  <c r="F26" i="1"/>
  <c r="G26" i="1" s="1"/>
  <c r="E26" i="1"/>
  <c r="E41" i="1"/>
  <c r="F41" i="1"/>
  <c r="G41" i="1" s="1"/>
  <c r="H41" i="1" s="1"/>
  <c r="I41" i="1" s="1"/>
  <c r="J41" i="1" s="1"/>
  <c r="K41" i="1" s="1"/>
  <c r="D41" i="1"/>
  <c r="E46" i="1"/>
  <c r="F46" i="1"/>
  <c r="E33" i="1"/>
  <c r="F33" i="1"/>
  <c r="G33" i="1" s="1"/>
  <c r="H33" i="1" s="1"/>
  <c r="I33" i="1" s="1"/>
  <c r="J33" i="1" s="1"/>
  <c r="K33" i="1" s="1"/>
  <c r="D33" i="1"/>
  <c r="F45" i="1"/>
  <c r="E45" i="1"/>
  <c r="G45" i="1" s="1"/>
  <c r="F40" i="1"/>
  <c r="G40" i="1" s="1"/>
  <c r="F32" i="1"/>
  <c r="E32" i="1"/>
  <c r="G36" i="1"/>
  <c r="H36" i="1" s="1"/>
  <c r="I36" i="1" s="1"/>
  <c r="J36" i="1" s="1"/>
  <c r="K36" i="1" s="1"/>
  <c r="G35" i="1"/>
  <c r="H35" i="1" s="1"/>
  <c r="I35" i="1" s="1"/>
  <c r="J35" i="1" s="1"/>
  <c r="K35" i="1" s="1"/>
  <c r="H141" i="1"/>
  <c r="I141" i="1"/>
  <c r="J141" i="1"/>
  <c r="K141" i="1"/>
  <c r="G152" i="1"/>
  <c r="G83" i="1"/>
  <c r="H83" i="1" s="1"/>
  <c r="I83" i="1" s="1"/>
  <c r="J83" i="1" s="1"/>
  <c r="K83" i="1" s="1"/>
  <c r="D43" i="1"/>
  <c r="G85" i="1"/>
  <c r="H85" i="1" s="1"/>
  <c r="I85" i="1" s="1"/>
  <c r="J85" i="1" s="1"/>
  <c r="K85" i="1" s="1"/>
  <c r="H121" i="1"/>
  <c r="G119" i="1"/>
  <c r="H116" i="1"/>
  <c r="I116" i="1" s="1"/>
  <c r="J116" i="1" s="1"/>
  <c r="K116" i="1" s="1"/>
  <c r="G115" i="1"/>
  <c r="G117" i="1" s="1"/>
  <c r="G82" i="1" s="1"/>
  <c r="D98" i="1" a="1"/>
  <c r="D96" i="1" a="1"/>
  <c r="G68" i="1"/>
  <c r="G145" i="1" s="1"/>
  <c r="F22" i="1"/>
  <c r="E22" i="1"/>
  <c r="E32" i="2"/>
  <c r="E77" i="1" s="1"/>
  <c r="F27" i="2"/>
  <c r="F70" i="1"/>
  <c r="E86" i="1"/>
  <c r="F86" i="1"/>
  <c r="D86" i="1"/>
  <c r="D74" i="1"/>
  <c r="M17" i="2"/>
  <c r="E73" i="1" s="1"/>
  <c r="E91" i="1" s="1"/>
  <c r="F27" i="1" s="1"/>
  <c r="N17" i="2"/>
  <c r="F73" i="1" s="1"/>
  <c r="F91" i="1" s="1"/>
  <c r="D23" i="4" s="1"/>
  <c r="L17" i="2"/>
  <c r="D73" i="1" s="1"/>
  <c r="F32" i="2"/>
  <c r="F77" i="1" s="1"/>
  <c r="D32" i="2"/>
  <c r="D77" i="1" s="1"/>
  <c r="E27" i="2"/>
  <c r="E70" i="1" s="1"/>
  <c r="E71" i="1" s="1"/>
  <c r="D27" i="2"/>
  <c r="D70" i="1" s="1"/>
  <c r="D71" i="1" s="1"/>
  <c r="F22" i="2"/>
  <c r="F62" i="1" s="1"/>
  <c r="D22" i="2"/>
  <c r="D62" i="1" s="1"/>
  <c r="D64" i="1" s="1"/>
  <c r="E22" i="2"/>
  <c r="E62" i="1" s="1"/>
  <c r="E64" i="1" s="1"/>
  <c r="E17" i="2"/>
  <c r="E56" i="1" s="1"/>
  <c r="E57" i="1" s="1"/>
  <c r="F17" i="2"/>
  <c r="F56" i="1" s="1"/>
  <c r="D17" i="2"/>
  <c r="D56" i="1" s="1"/>
  <c r="D57" i="1" s="1"/>
  <c r="F21" i="1"/>
  <c r="E21" i="1"/>
  <c r="E9" i="1"/>
  <c r="F9" i="1"/>
  <c r="D9" i="1"/>
  <c r="E7" i="1"/>
  <c r="E24" i="1" s="1"/>
  <c r="F7" i="1"/>
  <c r="F24" i="1" s="1"/>
  <c r="E11" i="2"/>
  <c r="E8" i="1" s="1"/>
  <c r="E25" i="1" s="1"/>
  <c r="F11" i="2"/>
  <c r="F8" i="1" s="1"/>
  <c r="F25" i="1" s="1"/>
  <c r="D11" i="2"/>
  <c r="D8" i="1" s="1"/>
  <c r="D25" i="1" s="1"/>
  <c r="D5" i="2"/>
  <c r="D7" i="1" s="1"/>
  <c r="D24" i="1" s="1"/>
  <c r="E6" i="1"/>
  <c r="F6" i="1"/>
  <c r="D6" i="1"/>
  <c r="G21" i="1" l="1"/>
  <c r="D24" i="4"/>
  <c r="D53" i="4"/>
  <c r="D34" i="4"/>
  <c r="G46" i="1"/>
  <c r="H46" i="1" s="1"/>
  <c r="I46" i="1" s="1"/>
  <c r="J46" i="1" s="1"/>
  <c r="K46" i="1" s="1"/>
  <c r="G32" i="1"/>
  <c r="D46" i="1"/>
  <c r="D91" i="1"/>
  <c r="E27" i="1" s="1"/>
  <c r="G27" i="1" s="1"/>
  <c r="H26" i="1"/>
  <c r="I26" i="1" s="1"/>
  <c r="J26" i="1" s="1"/>
  <c r="K26" i="1" s="1"/>
  <c r="G12" i="1"/>
  <c r="H45" i="1"/>
  <c r="I45" i="1" s="1"/>
  <c r="J45" i="1" s="1"/>
  <c r="K45" i="1" s="1"/>
  <c r="G43" i="1"/>
  <c r="G142" i="1" s="1"/>
  <c r="G38" i="1"/>
  <c r="G39" i="1" s="1"/>
  <c r="H40" i="1"/>
  <c r="I40" i="1" s="1"/>
  <c r="J40" i="1" s="1"/>
  <c r="K40" i="1" s="1"/>
  <c r="G151" i="1"/>
  <c r="I121" i="1"/>
  <c r="H152" i="1"/>
  <c r="H115" i="1"/>
  <c r="E102" i="1"/>
  <c r="E112" i="1" s="1"/>
  <c r="D100" i="1"/>
  <c r="F71" i="1"/>
  <c r="G70" i="1"/>
  <c r="F64" i="1"/>
  <c r="H68" i="1"/>
  <c r="H145" i="1" s="1"/>
  <c r="F57" i="1"/>
  <c r="E78" i="1"/>
  <c r="E80" i="1" s="1"/>
  <c r="E88" i="1" s="1"/>
  <c r="F78" i="1"/>
  <c r="G24" i="1"/>
  <c r="H24" i="1" s="1"/>
  <c r="I24" i="1" s="1"/>
  <c r="J24" i="1" s="1"/>
  <c r="K24" i="1" s="1"/>
  <c r="G136" i="1"/>
  <c r="G53" i="1"/>
  <c r="D78" i="1"/>
  <c r="D80" i="1" s="1"/>
  <c r="D88" i="1" s="1"/>
  <c r="D66" i="1"/>
  <c r="E66" i="1"/>
  <c r="G25" i="1"/>
  <c r="H25" i="1" s="1"/>
  <c r="I25" i="1" s="1"/>
  <c r="J25" i="1" s="1"/>
  <c r="K25" i="1" s="1"/>
  <c r="E10" i="1"/>
  <c r="E14" i="1" s="1"/>
  <c r="E23" i="1"/>
  <c r="F23" i="1"/>
  <c r="F10" i="1"/>
  <c r="D10" i="1"/>
  <c r="D14" i="1" s="1"/>
  <c r="D23" i="1"/>
  <c r="G56" i="1" l="1"/>
  <c r="H21" i="1"/>
  <c r="G62" i="1"/>
  <c r="G73" i="1"/>
  <c r="G148" i="1" s="1"/>
  <c r="G60" i="1"/>
  <c r="G4" i="1"/>
  <c r="F14" i="1"/>
  <c r="D4" i="4"/>
  <c r="D6" i="4" s="1"/>
  <c r="D36" i="4"/>
  <c r="D35" i="4"/>
  <c r="G44" i="1"/>
  <c r="H32" i="1"/>
  <c r="I32" i="1" s="1"/>
  <c r="J32" i="1" s="1"/>
  <c r="K32" i="1" s="1"/>
  <c r="G30" i="1"/>
  <c r="G137" i="1"/>
  <c r="G107" i="1"/>
  <c r="E104" i="1"/>
  <c r="E106" i="1"/>
  <c r="G13" i="1"/>
  <c r="H27" i="1"/>
  <c r="I27" i="1" s="1"/>
  <c r="J27" i="1" s="1"/>
  <c r="K27" i="1" s="1"/>
  <c r="F80" i="1"/>
  <c r="F88" i="1" s="1"/>
  <c r="I152" i="1"/>
  <c r="J121" i="1"/>
  <c r="H70" i="1"/>
  <c r="G147" i="1"/>
  <c r="E89" i="1"/>
  <c r="H73" i="1"/>
  <c r="H148" i="1" s="1"/>
  <c r="D99" i="1"/>
  <c r="D97" i="1"/>
  <c r="H117" i="1"/>
  <c r="H82" i="1" s="1"/>
  <c r="F66" i="1"/>
  <c r="I68" i="1"/>
  <c r="I145" i="1" s="1"/>
  <c r="G54" i="1"/>
  <c r="H38" i="1" s="1"/>
  <c r="H39" i="1" s="1"/>
  <c r="D89" i="1"/>
  <c r="G23" i="1"/>
  <c r="E17" i="1"/>
  <c r="E28" i="1"/>
  <c r="F17" i="1"/>
  <c r="F28" i="1"/>
  <c r="D17" i="1"/>
  <c r="D28" i="1"/>
  <c r="R18" i="4" l="1"/>
  <c r="P24" i="4"/>
  <c r="G140" i="1"/>
  <c r="H56" i="1"/>
  <c r="H110" i="1"/>
  <c r="I110" i="1" s="1"/>
  <c r="I21" i="1"/>
  <c r="I73" i="1" s="1"/>
  <c r="I148" i="1" s="1"/>
  <c r="G130" i="1"/>
  <c r="E14" i="4" s="1"/>
  <c r="H62" i="1"/>
  <c r="G129" i="1"/>
  <c r="E13" i="4" s="1"/>
  <c r="H60" i="1"/>
  <c r="G8" i="1"/>
  <c r="H4" i="1"/>
  <c r="G7" i="1"/>
  <c r="G127" i="1"/>
  <c r="E5" i="4" s="1"/>
  <c r="E44" i="4" s="1"/>
  <c r="G31" i="1"/>
  <c r="G138" i="1"/>
  <c r="G55" i="1"/>
  <c r="H137" i="1"/>
  <c r="H107" i="1"/>
  <c r="E100" i="1"/>
  <c r="F106" i="1" s="1"/>
  <c r="F102" i="1"/>
  <c r="F112" i="1" s="1"/>
  <c r="F89" i="1"/>
  <c r="H136" i="1"/>
  <c r="H53" i="1"/>
  <c r="I53" i="1" s="1"/>
  <c r="H151" i="1"/>
  <c r="J152" i="1"/>
  <c r="K121" i="1"/>
  <c r="K152" i="1" s="1"/>
  <c r="H147" i="1"/>
  <c r="I70" i="1"/>
  <c r="I115" i="1"/>
  <c r="I117" i="1" s="1"/>
  <c r="I82" i="1" s="1"/>
  <c r="H54" i="1"/>
  <c r="I38" i="1" s="1"/>
  <c r="I39" i="1" s="1"/>
  <c r="J68" i="1"/>
  <c r="J145" i="1" s="1"/>
  <c r="G28" i="1"/>
  <c r="I136" i="1"/>
  <c r="J21" i="1"/>
  <c r="H23" i="1"/>
  <c r="G5" i="1"/>
  <c r="H140" i="1" l="1"/>
  <c r="I56" i="1"/>
  <c r="H130" i="1"/>
  <c r="F14" i="4" s="1"/>
  <c r="I62" i="1"/>
  <c r="I130" i="1" s="1"/>
  <c r="G14" i="4" s="1"/>
  <c r="H129" i="1"/>
  <c r="F13" i="4" s="1"/>
  <c r="I60" i="1"/>
  <c r="I4" i="1"/>
  <c r="H7" i="1"/>
  <c r="H8" i="1"/>
  <c r="G52" i="1"/>
  <c r="G139" i="1"/>
  <c r="G48" i="1"/>
  <c r="E10" i="4" s="1"/>
  <c r="E45" i="4" s="1"/>
  <c r="G143" i="1"/>
  <c r="H28" i="1"/>
  <c r="I28" i="1" s="1"/>
  <c r="J28" i="1" s="1"/>
  <c r="K28" i="1" s="1"/>
  <c r="C8" i="4"/>
  <c r="D38" i="4" s="1"/>
  <c r="H43" i="1"/>
  <c r="G57" i="1"/>
  <c r="I137" i="1"/>
  <c r="I107" i="1"/>
  <c r="G106" i="1"/>
  <c r="F104" i="1"/>
  <c r="E97" i="1"/>
  <c r="E99" i="1"/>
  <c r="J73" i="1"/>
  <c r="J148" i="1" s="1"/>
  <c r="I151" i="1"/>
  <c r="I147" i="1"/>
  <c r="J70" i="1"/>
  <c r="I140" i="1"/>
  <c r="J115" i="1"/>
  <c r="J117" i="1" s="1"/>
  <c r="J82" i="1" s="1"/>
  <c r="J110" i="1"/>
  <c r="I54" i="1"/>
  <c r="J38" i="1" s="1"/>
  <c r="J39" i="1" s="1"/>
  <c r="J62" i="1"/>
  <c r="K68" i="1"/>
  <c r="K145" i="1" s="1"/>
  <c r="G6" i="1"/>
  <c r="G10" i="1" s="1"/>
  <c r="E4" i="4" s="1"/>
  <c r="G22" i="1"/>
  <c r="J56" i="1"/>
  <c r="J140" i="1" s="1"/>
  <c r="K21" i="1"/>
  <c r="I23" i="1"/>
  <c r="H5" i="1"/>
  <c r="H22" i="1" s="1"/>
  <c r="H30" i="1" l="1"/>
  <c r="I129" i="1"/>
  <c r="G13" i="4" s="1"/>
  <c r="J60" i="1"/>
  <c r="J4" i="1"/>
  <c r="K4" i="1" s="1"/>
  <c r="I8" i="1"/>
  <c r="I7" i="1"/>
  <c r="H44" i="1"/>
  <c r="H55" i="1"/>
  <c r="H142" i="1"/>
  <c r="E6" i="4"/>
  <c r="Q24" i="4" s="1"/>
  <c r="E42" i="4"/>
  <c r="E43" i="4" s="1"/>
  <c r="I43" i="1"/>
  <c r="J137" i="1"/>
  <c r="J107" i="1"/>
  <c r="H106" i="1"/>
  <c r="I106" i="1" s="1"/>
  <c r="J106" i="1" s="1"/>
  <c r="K106" i="1" s="1"/>
  <c r="G104" i="1"/>
  <c r="H104" i="1" s="1"/>
  <c r="I104" i="1" s="1"/>
  <c r="J104" i="1" s="1"/>
  <c r="K104" i="1" s="1"/>
  <c r="J136" i="1"/>
  <c r="J53" i="1"/>
  <c r="K53" i="1" s="1"/>
  <c r="K73" i="1"/>
  <c r="K148" i="1" s="1"/>
  <c r="J151" i="1"/>
  <c r="J147" i="1"/>
  <c r="K70" i="1"/>
  <c r="K147" i="1" s="1"/>
  <c r="J130" i="1"/>
  <c r="H14" i="4" s="1"/>
  <c r="J129" i="1"/>
  <c r="H13" i="4" s="1"/>
  <c r="K115" i="1"/>
  <c r="K117" i="1" s="1"/>
  <c r="K82" i="1" s="1"/>
  <c r="G59" i="1"/>
  <c r="G128" i="1" s="1"/>
  <c r="E12" i="4" s="1"/>
  <c r="G77" i="1"/>
  <c r="G132" i="1" s="1"/>
  <c r="E16" i="4" s="1"/>
  <c r="G75" i="1"/>
  <c r="G131" i="1" s="1"/>
  <c r="E15" i="4" s="1"/>
  <c r="K136" i="1"/>
  <c r="K110" i="1"/>
  <c r="J54" i="1"/>
  <c r="K38" i="1" s="1"/>
  <c r="K39" i="1" s="1"/>
  <c r="K62" i="1"/>
  <c r="K130" i="1" s="1"/>
  <c r="I14" i="4" s="1"/>
  <c r="K60" i="1"/>
  <c r="K129" i="1" s="1"/>
  <c r="I13" i="4" s="1"/>
  <c r="H6" i="1"/>
  <c r="H10" i="1" s="1"/>
  <c r="F4" i="4" s="1"/>
  <c r="K56" i="1"/>
  <c r="K140" i="1" s="1"/>
  <c r="J23" i="1"/>
  <c r="I5" i="1"/>
  <c r="I22" i="1" s="1"/>
  <c r="J7" i="1"/>
  <c r="J8" i="1"/>
  <c r="H127" i="1" l="1"/>
  <c r="F5" i="4" s="1"/>
  <c r="H31" i="1"/>
  <c r="H48" i="1"/>
  <c r="F10" i="4" s="1"/>
  <c r="F45" i="4" s="1"/>
  <c r="H138" i="1"/>
  <c r="I44" i="1"/>
  <c r="I55" i="1" s="1"/>
  <c r="I142" i="1"/>
  <c r="F42" i="4"/>
  <c r="F43" i="4" s="1"/>
  <c r="E17" i="4"/>
  <c r="E46" i="4" s="1"/>
  <c r="E47" i="4" s="1"/>
  <c r="K137" i="1"/>
  <c r="K107" i="1"/>
  <c r="G102" i="1"/>
  <c r="F100" i="1"/>
  <c r="K23" i="1"/>
  <c r="K5" i="1" s="1"/>
  <c r="J5" i="1"/>
  <c r="K151" i="1"/>
  <c r="H59" i="1"/>
  <c r="H128" i="1" s="1"/>
  <c r="F12" i="4" s="1"/>
  <c r="H77" i="1"/>
  <c r="H75" i="1"/>
  <c r="H131" i="1" s="1"/>
  <c r="F15" i="4" s="1"/>
  <c r="K54" i="1"/>
  <c r="I6" i="1"/>
  <c r="I10" i="1" s="1"/>
  <c r="G4" i="4" s="1"/>
  <c r="K7" i="1"/>
  <c r="K8" i="1"/>
  <c r="H52" i="1" l="1"/>
  <c r="H139" i="1"/>
  <c r="H143" i="1" s="1"/>
  <c r="F44" i="4"/>
  <c r="F6" i="4"/>
  <c r="R24" i="4" s="1"/>
  <c r="J43" i="1"/>
  <c r="J142" i="1" s="1"/>
  <c r="I138" i="1"/>
  <c r="J44" i="1"/>
  <c r="G42" i="4"/>
  <c r="G43" i="4" s="1"/>
  <c r="F99" i="1"/>
  <c r="F97" i="1"/>
  <c r="G97" i="1" s="1"/>
  <c r="G105" i="1"/>
  <c r="G103" i="1"/>
  <c r="K22" i="1"/>
  <c r="J6" i="1"/>
  <c r="J10" i="1" s="1"/>
  <c r="H4" i="4" s="1"/>
  <c r="J22" i="1"/>
  <c r="I59" i="1"/>
  <c r="I77" i="1"/>
  <c r="H132" i="1"/>
  <c r="F16" i="4" s="1"/>
  <c r="F17" i="4" s="1"/>
  <c r="F46" i="4" s="1"/>
  <c r="F47" i="4" s="1"/>
  <c r="I75" i="1"/>
  <c r="I131" i="1" s="1"/>
  <c r="G15" i="4" s="1"/>
  <c r="K6" i="1"/>
  <c r="K10" i="1" s="1"/>
  <c r="I4" i="4" s="1"/>
  <c r="H57" i="1" l="1"/>
  <c r="I30" i="1"/>
  <c r="J138" i="1"/>
  <c r="J55" i="1"/>
  <c r="G112" i="1"/>
  <c r="H97" i="1"/>
  <c r="G99" i="1"/>
  <c r="H42" i="4"/>
  <c r="H43" i="4" s="1"/>
  <c r="I42" i="4"/>
  <c r="J4" i="4"/>
  <c r="I97" i="1"/>
  <c r="H99" i="1"/>
  <c r="I128" i="1"/>
  <c r="G12" i="4" s="1"/>
  <c r="J59" i="1"/>
  <c r="I132" i="1"/>
  <c r="G16" i="4" s="1"/>
  <c r="J77" i="1"/>
  <c r="J75" i="1"/>
  <c r="J131" i="1" s="1"/>
  <c r="H15" i="4" s="1"/>
  <c r="G17" i="4" l="1"/>
  <c r="G46" i="4" s="1"/>
  <c r="I31" i="1"/>
  <c r="I127" i="1"/>
  <c r="G5" i="4" s="1"/>
  <c r="K43" i="1"/>
  <c r="G100" i="1"/>
  <c r="H105" i="1" s="1"/>
  <c r="H102" i="1"/>
  <c r="I43" i="4"/>
  <c r="J42" i="4"/>
  <c r="J97" i="1"/>
  <c r="I99" i="1"/>
  <c r="G98" i="1"/>
  <c r="G69" i="1" s="1"/>
  <c r="H103" i="1"/>
  <c r="G96" i="1"/>
  <c r="G76" i="1" s="1"/>
  <c r="G150" i="1" s="1"/>
  <c r="J128" i="1"/>
  <c r="H12" i="4" s="1"/>
  <c r="K59" i="1"/>
  <c r="K128" i="1" s="1"/>
  <c r="I12" i="4" s="1"/>
  <c r="J132" i="1"/>
  <c r="H16" i="4" s="1"/>
  <c r="K77" i="1"/>
  <c r="K132" i="1" s="1"/>
  <c r="I16" i="4" s="1"/>
  <c r="K75" i="1"/>
  <c r="I48" i="1" l="1"/>
  <c r="G10" i="4" s="1"/>
  <c r="G45" i="4" s="1"/>
  <c r="I139" i="1"/>
  <c r="I143" i="1" s="1"/>
  <c r="I52" i="1"/>
  <c r="G6" i="4"/>
  <c r="S24" i="4" s="1"/>
  <c r="G44" i="4"/>
  <c r="G47" i="4" s="1"/>
  <c r="J99" i="1"/>
  <c r="K97" i="1"/>
  <c r="K99" i="1" s="1"/>
  <c r="G146" i="1"/>
  <c r="G71" i="1"/>
  <c r="K44" i="1"/>
  <c r="K55" i="1" s="1"/>
  <c r="K142" i="1"/>
  <c r="H17" i="4"/>
  <c r="H46" i="4" s="1"/>
  <c r="J43" i="4"/>
  <c r="H112" i="1"/>
  <c r="K131" i="1"/>
  <c r="I15" i="4" s="1"/>
  <c r="I17" i="4" s="1"/>
  <c r="I57" i="1" l="1"/>
  <c r="J30" i="1"/>
  <c r="K138" i="1"/>
  <c r="H100" i="1"/>
  <c r="I102" i="1"/>
  <c r="J17" i="4"/>
  <c r="J46" i="4" s="1"/>
  <c r="I46" i="4"/>
  <c r="J127" i="1" l="1"/>
  <c r="H5" i="4" s="1"/>
  <c r="J31" i="1"/>
  <c r="I105" i="1"/>
  <c r="I103" i="1"/>
  <c r="I112" i="1" s="1"/>
  <c r="H98" i="1"/>
  <c r="H69" i="1" s="1"/>
  <c r="H96" i="1"/>
  <c r="H76" i="1" s="1"/>
  <c r="H150" i="1" s="1"/>
  <c r="H6" i="4" l="1"/>
  <c r="T24" i="4" s="1"/>
  <c r="H44" i="4"/>
  <c r="J52" i="1"/>
  <c r="J48" i="1"/>
  <c r="H10" i="4" s="1"/>
  <c r="H45" i="4" s="1"/>
  <c r="J139" i="1"/>
  <c r="J143" i="1" s="1"/>
  <c r="H146" i="1"/>
  <c r="H71" i="1"/>
  <c r="I100" i="1"/>
  <c r="J105" i="1" s="1"/>
  <c r="J102" i="1"/>
  <c r="K30" i="1" l="1"/>
  <c r="J57" i="1"/>
  <c r="H47" i="4"/>
  <c r="I96" i="1"/>
  <c r="I76" i="1" s="1"/>
  <c r="I150" i="1" s="1"/>
  <c r="J103" i="1"/>
  <c r="I98" i="1"/>
  <c r="I69" i="1" s="1"/>
  <c r="K127" i="1" l="1"/>
  <c r="I5" i="4" s="1"/>
  <c r="K31" i="1"/>
  <c r="J112" i="1"/>
  <c r="I146" i="1"/>
  <c r="I71" i="1"/>
  <c r="I6" i="4" l="1"/>
  <c r="U24" i="4" s="1"/>
  <c r="I44" i="4"/>
  <c r="J5" i="4"/>
  <c r="K48" i="1"/>
  <c r="I10" i="4" s="1"/>
  <c r="I45" i="4" s="1"/>
  <c r="K139" i="1"/>
  <c r="K143" i="1" s="1"/>
  <c r="K52" i="1"/>
  <c r="K57" i="1" s="1"/>
  <c r="K102" i="1"/>
  <c r="J100" i="1"/>
  <c r="J6" i="4" l="1"/>
  <c r="J10" i="4"/>
  <c r="J45" i="4" s="1"/>
  <c r="J44" i="4"/>
  <c r="I47" i="4"/>
  <c r="K105" i="1"/>
  <c r="J96" i="1"/>
  <c r="J76" i="1" s="1"/>
  <c r="J150" i="1" s="1"/>
  <c r="K103" i="1"/>
  <c r="J98" i="1"/>
  <c r="J69" i="1" s="1"/>
  <c r="J146" i="1"/>
  <c r="J71" i="1"/>
  <c r="G14" i="1"/>
  <c r="G16" i="1" s="1"/>
  <c r="G17" i="1" s="1"/>
  <c r="J47" i="4" l="1"/>
  <c r="D50" i="4" s="1"/>
  <c r="K112" i="1"/>
  <c r="K100" i="1" s="1"/>
  <c r="K98" i="1" s="1"/>
  <c r="K69" i="1" s="1"/>
  <c r="K96" i="1"/>
  <c r="K76" i="1" s="1"/>
  <c r="K150" i="1" s="1"/>
  <c r="G126" i="1"/>
  <c r="G133" i="1" s="1"/>
  <c r="G158" i="1" s="1"/>
  <c r="G120" i="1"/>
  <c r="G122" i="1" s="1"/>
  <c r="G84" i="1" s="1"/>
  <c r="B65" i="4" l="1"/>
  <c r="D52" i="4"/>
  <c r="D55" i="4" s="1"/>
  <c r="D56" i="4" s="1"/>
  <c r="K146" i="1"/>
  <c r="K71" i="1"/>
  <c r="G159" i="1"/>
  <c r="G74" i="1" s="1"/>
  <c r="H119" i="1"/>
  <c r="G78" i="1" l="1"/>
  <c r="G80" i="1" s="1"/>
  <c r="G149" i="1"/>
  <c r="G153" i="1" s="1"/>
  <c r="G155" i="1" s="1"/>
  <c r="G61" i="1" s="1"/>
  <c r="G91" i="1"/>
  <c r="H13" i="1" s="1"/>
  <c r="H12" i="1" l="1"/>
  <c r="H14" i="1" s="1"/>
  <c r="H16" i="1" s="1"/>
  <c r="H17" i="1" s="1"/>
  <c r="G64" i="1"/>
  <c r="G66" i="1" s="1"/>
  <c r="H126" i="1" l="1"/>
  <c r="H133" i="1" s="1"/>
  <c r="H158" i="1" s="1"/>
  <c r="H159" i="1" s="1"/>
  <c r="H74" i="1" s="1"/>
  <c r="H120" i="1"/>
  <c r="H122" i="1" s="1"/>
  <c r="I119" i="1" l="1"/>
  <c r="H84" i="1"/>
  <c r="H78" i="1"/>
  <c r="H80" i="1" s="1"/>
  <c r="H149" i="1"/>
  <c r="H153" i="1" s="1"/>
  <c r="H155" i="1" s="1"/>
  <c r="H61" i="1" s="1"/>
  <c r="H91" i="1"/>
  <c r="I13" i="1" s="1"/>
  <c r="I12" i="1" l="1"/>
  <c r="I14" i="1" s="1"/>
  <c r="I16" i="1" s="1"/>
  <c r="I17" i="1" s="1"/>
  <c r="H64" i="1"/>
  <c r="H66" i="1" s="1"/>
  <c r="I120" i="1" l="1"/>
  <c r="I122" i="1" s="1"/>
  <c r="I126" i="1"/>
  <c r="I133" i="1" s="1"/>
  <c r="I158" i="1" s="1"/>
  <c r="I159" i="1" s="1"/>
  <c r="I74" i="1" s="1"/>
  <c r="J119" i="1" l="1"/>
  <c r="I84" i="1"/>
  <c r="I78" i="1"/>
  <c r="I80" i="1" s="1"/>
  <c r="I91" i="1"/>
  <c r="J13" i="1" s="1"/>
  <c r="I149" i="1"/>
  <c r="I153" i="1" s="1"/>
  <c r="I155" i="1" s="1"/>
  <c r="I61" i="1" s="1"/>
  <c r="J12" i="1" l="1"/>
  <c r="J14" i="1" s="1"/>
  <c r="J16" i="1" s="1"/>
  <c r="J17" i="1" s="1"/>
  <c r="I64" i="1"/>
  <c r="I66" i="1" s="1"/>
  <c r="J120" i="1" l="1"/>
  <c r="J122" i="1" s="1"/>
  <c r="J126" i="1"/>
  <c r="J133" i="1" s="1"/>
  <c r="J158" i="1" s="1"/>
  <c r="J159" i="1" s="1"/>
  <c r="J74" i="1" s="1"/>
  <c r="K119" i="1" l="1"/>
  <c r="J84" i="1"/>
  <c r="J149" i="1"/>
  <c r="J153" i="1" s="1"/>
  <c r="J155" i="1" s="1"/>
  <c r="J61" i="1" s="1"/>
  <c r="J78" i="1"/>
  <c r="J80" i="1" s="1"/>
  <c r="J91" i="1"/>
  <c r="K13" i="1" s="1"/>
  <c r="J64" i="1" l="1"/>
  <c r="J66" i="1" s="1"/>
  <c r="K12" i="1"/>
  <c r="K14" i="1" s="1"/>
  <c r="K16" i="1" s="1"/>
  <c r="K17" i="1" s="1"/>
  <c r="K120" i="1" l="1"/>
  <c r="K122" i="1" s="1"/>
  <c r="K84" i="1" s="1"/>
  <c r="K126" i="1"/>
  <c r="K133" i="1" s="1"/>
  <c r="K158" i="1" s="1"/>
  <c r="K159" i="1" s="1"/>
  <c r="K74" i="1" s="1"/>
  <c r="K86" i="1" l="1"/>
  <c r="G86" i="1"/>
  <c r="G88" i="1" s="1"/>
  <c r="G89" i="1" s="1"/>
  <c r="J86" i="1"/>
  <c r="J88" i="1" s="1"/>
  <c r="J89" i="1" s="1"/>
  <c r="H86" i="1"/>
  <c r="H88" i="1" s="1"/>
  <c r="H89" i="1" s="1"/>
  <c r="I86" i="1"/>
  <c r="I88" i="1" s="1"/>
  <c r="I89" i="1" s="1"/>
  <c r="K91" i="1"/>
  <c r="K78" i="1"/>
  <c r="K80" i="1" s="1"/>
  <c r="K149" i="1"/>
  <c r="K153" i="1" s="1"/>
  <c r="K155" i="1" s="1"/>
  <c r="K61" i="1" s="1"/>
  <c r="K64" i="1" s="1"/>
  <c r="K66" i="1" s="1"/>
  <c r="C64" i="4" l="1"/>
  <c r="D64" i="4" s="1"/>
  <c r="E64" i="4" s="1"/>
  <c r="C62" i="4"/>
  <c r="D62" i="4" s="1"/>
  <c r="E62" i="4" s="1"/>
  <c r="C63" i="4"/>
  <c r="D63" i="4" s="1"/>
  <c r="E63" i="4" s="1"/>
  <c r="C65" i="4"/>
  <c r="D65" i="4" s="1"/>
  <c r="E65" i="4" s="1"/>
  <c r="K88" i="1"/>
  <c r="K8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<sst xmlns="http://schemas.openxmlformats.org/spreadsheetml/2006/main" count="346" uniqueCount="251">
  <si>
    <t>Income Statement</t>
  </si>
  <si>
    <t>Revenue</t>
  </si>
  <si>
    <t>FY2023A</t>
  </si>
  <si>
    <t>FY2024A</t>
  </si>
  <si>
    <t>FY2025A</t>
  </si>
  <si>
    <t>FY2026E</t>
  </si>
  <si>
    <t>FY2027E</t>
  </si>
  <si>
    <t>FY2028E</t>
  </si>
  <si>
    <t>FY2029E</t>
  </si>
  <si>
    <t>FY2030E</t>
  </si>
  <si>
    <t>RM'000</t>
  </si>
  <si>
    <t>(-) COGS</t>
  </si>
  <si>
    <t>Gross Profit</t>
  </si>
  <si>
    <t>Operating Expenses</t>
  </si>
  <si>
    <t>Other income</t>
  </si>
  <si>
    <t>Administrative expenses</t>
  </si>
  <si>
    <t>Selling and distribution expenses</t>
  </si>
  <si>
    <t>Other expenses</t>
  </si>
  <si>
    <t>Fair value (loss)/gain on biological assets</t>
  </si>
  <si>
    <t>Other Income</t>
  </si>
  <si>
    <t>Interest Income</t>
  </si>
  <si>
    <t>Interest Expense</t>
  </si>
  <si>
    <t>Pre-Tax Profit (EBT)</t>
  </si>
  <si>
    <t>Operating Profit (EBIT)</t>
  </si>
  <si>
    <t>Tax Expense</t>
  </si>
  <si>
    <t>x</t>
  </si>
  <si>
    <t>Assumptions</t>
  </si>
  <si>
    <t>Revenue Growth</t>
  </si>
  <si>
    <t>COGS Growth</t>
  </si>
  <si>
    <t>Other Income - % of Revenue</t>
  </si>
  <si>
    <t>Operating Expenses - % of Revenue</t>
  </si>
  <si>
    <t>Tax Rate</t>
  </si>
  <si>
    <t>Gross Profit Margin</t>
  </si>
  <si>
    <t>Balance Sheet</t>
  </si>
  <si>
    <t>PP&amp;E</t>
  </si>
  <si>
    <t>Intangible Assets</t>
  </si>
  <si>
    <t>Other NCAs</t>
  </si>
  <si>
    <t>Biological Assets</t>
  </si>
  <si>
    <t>Trade and other receivables</t>
  </si>
  <si>
    <t>Deferred tax assets</t>
  </si>
  <si>
    <t>ROU Assets</t>
  </si>
  <si>
    <t>Total Non-Current Assets</t>
  </si>
  <si>
    <t>Inventories</t>
  </si>
  <si>
    <t>Receivables</t>
  </si>
  <si>
    <t>Cash and cash equivalents</t>
  </si>
  <si>
    <t>Other Current Assets</t>
  </si>
  <si>
    <t>Current Tax Assets</t>
  </si>
  <si>
    <t>Derivative Financial Assets</t>
  </si>
  <si>
    <t>Other Investments</t>
  </si>
  <si>
    <t>Other CAs</t>
  </si>
  <si>
    <t>Total Current Assets</t>
  </si>
  <si>
    <t>Total Assets</t>
  </si>
  <si>
    <t>Assets classified as held for sale</t>
  </si>
  <si>
    <t>-</t>
  </si>
  <si>
    <t>Long-Term Borrowing</t>
  </si>
  <si>
    <t>Other Non-Current Liabilities</t>
  </si>
  <si>
    <t>Total Non-Current Liabilities</t>
  </si>
  <si>
    <t>Other Non-Current Assets</t>
  </si>
  <si>
    <t>Deferred Tax Liabilities</t>
  </si>
  <si>
    <t>Deferred Income</t>
  </si>
  <si>
    <t>Lease Liabilities</t>
  </si>
  <si>
    <t>Put Option Liability</t>
  </si>
  <si>
    <t>Other NCLs</t>
  </si>
  <si>
    <t>Derivative Financial Liabilities</t>
  </si>
  <si>
    <t>Current Tax Liabilities</t>
  </si>
  <si>
    <t>Other CLs</t>
  </si>
  <si>
    <t>Short-Term Borrowing</t>
  </si>
  <si>
    <t>Payables</t>
  </si>
  <si>
    <t>Revolving Line of Credit</t>
  </si>
  <si>
    <t>Other Current Liabilities</t>
  </si>
  <si>
    <t>Total Current Liabilities</t>
  </si>
  <si>
    <t>Equity</t>
  </si>
  <si>
    <t>Total Liabilities</t>
  </si>
  <si>
    <t>GROUPING</t>
  </si>
  <si>
    <t>SEPARATING</t>
  </si>
  <si>
    <t>Short-Term Borrowing (w/o revolver)</t>
  </si>
  <si>
    <t>Share Capital</t>
  </si>
  <si>
    <t>Non-Distributable Reserves</t>
  </si>
  <si>
    <t>Retained Earnings (Distributable Reserves)</t>
  </si>
  <si>
    <t>Total Equity</t>
  </si>
  <si>
    <t>Total Equity and Liabilities</t>
  </si>
  <si>
    <t>Non-Controlling Interests</t>
  </si>
  <si>
    <t>Balance?</t>
  </si>
  <si>
    <t>Depreciation of PPE</t>
  </si>
  <si>
    <t>Depreciation of ROU Assets</t>
  </si>
  <si>
    <t>Amortization of Intangible Assets</t>
  </si>
  <si>
    <t>Purchases of Intangibles</t>
  </si>
  <si>
    <t>Additions of PPE</t>
  </si>
  <si>
    <t>Repayment of Lease Liabilities</t>
  </si>
  <si>
    <t>Lease Liabilities (Short-Term)</t>
  </si>
  <si>
    <t>Lease Liabilities (Long-Term)</t>
  </si>
  <si>
    <t>Schedules</t>
  </si>
  <si>
    <t>Total Lease Liabilities</t>
  </si>
  <si>
    <t xml:space="preserve">Additions of ROU Assets </t>
  </si>
  <si>
    <t xml:space="preserve">Finance Cost </t>
  </si>
  <si>
    <t>Acquisition of New Assets</t>
  </si>
  <si>
    <t>Derecognition of Lease</t>
  </si>
  <si>
    <t>Exchange Difference</t>
  </si>
  <si>
    <t>Lease Liabilities - Opening Balance</t>
  </si>
  <si>
    <t>Lease Liabilities - Closing Balance</t>
  </si>
  <si>
    <t>Others</t>
  </si>
  <si>
    <t>Maintained</t>
  </si>
  <si>
    <t>% of total lease liabilities</t>
  </si>
  <si>
    <t>Share Capital - BOP</t>
  </si>
  <si>
    <t>Shares Issuance</t>
  </si>
  <si>
    <t>Share Capital - EOP</t>
  </si>
  <si>
    <t>Retained Earnings - BOP</t>
  </si>
  <si>
    <t>Net Income</t>
  </si>
  <si>
    <t>Dividend Payout</t>
  </si>
  <si>
    <t>Retained Earnings - EOP</t>
  </si>
  <si>
    <t>Statement of Cash Flows</t>
  </si>
  <si>
    <t>Net Income (GAAP)</t>
  </si>
  <si>
    <t>D&amp;A</t>
  </si>
  <si>
    <t>Cash Flow From Operations</t>
  </si>
  <si>
    <t xml:space="preserve"> - Purchases of Intangible Assets</t>
  </si>
  <si>
    <t xml:space="preserve"> - ROU Asset Additions</t>
  </si>
  <si>
    <t xml:space="preserve"> - PPE</t>
  </si>
  <si>
    <t xml:space="preserve"> - Biological Assets</t>
  </si>
  <si>
    <t>Biological Asset Disposal</t>
  </si>
  <si>
    <t>Additions of Biological Asset</t>
  </si>
  <si>
    <t>Acquisition of: (CAPEX)</t>
  </si>
  <si>
    <t>Cash Flow From Financing</t>
  </si>
  <si>
    <t>Cash Flow From Investing</t>
  </si>
  <si>
    <t>Total Change in Cash</t>
  </si>
  <si>
    <t>Total Revolver Borrowing Needed</t>
  </si>
  <si>
    <t>Implied Depreciation Rate (ROU)</t>
  </si>
  <si>
    <t>Implied Depreciation Rate (PPE)</t>
  </si>
  <si>
    <t>Implied Disposal Rate (Biological Assets)</t>
  </si>
  <si>
    <t>This Assumption Tab is meant to be as detailed as possible for easier intepretation</t>
  </si>
  <si>
    <t>Additions as multiple of Depreciation</t>
  </si>
  <si>
    <t xml:space="preserve">Additions as multiple of Disposal </t>
  </si>
  <si>
    <t>Interest Income - % of Cash</t>
  </si>
  <si>
    <t>Memo: Total Debt</t>
  </si>
  <si>
    <t>Interest Expense - % of Total Debt</t>
  </si>
  <si>
    <t>Total Cash Flow Before Any Revolver Borrowing (Net of Minimum)</t>
  </si>
  <si>
    <t>EBIT</t>
  </si>
  <si>
    <t>FCF Calculation</t>
  </si>
  <si>
    <t xml:space="preserve">(-) </t>
  </si>
  <si>
    <t>Taxes</t>
  </si>
  <si>
    <t xml:space="preserve">(+) </t>
  </si>
  <si>
    <t>Extracted From 3-Statement Model</t>
  </si>
  <si>
    <t>CAPEX</t>
  </si>
  <si>
    <t>(-)</t>
  </si>
  <si>
    <t>Change in NWC</t>
  </si>
  <si>
    <t>Memo: Total CAPEX</t>
  </si>
  <si>
    <t>Annual Unlevered FCF</t>
  </si>
  <si>
    <t>% of Opening Lease Liability</t>
  </si>
  <si>
    <t>Ratio of ROU additions</t>
  </si>
  <si>
    <t>COGS</t>
  </si>
  <si>
    <t>Assumption</t>
  </si>
  <si>
    <t>Derived from Revenue * (1-Gross Profit Margin)</t>
  </si>
  <si>
    <t>Average of past 2 years growth rate and held constant</t>
  </si>
  <si>
    <t>Average of past 3 years and held constant</t>
  </si>
  <si>
    <t>Other Income &amp; Operating Expenses</t>
  </si>
  <si>
    <t>Average of past 3 years in terms of % of revenue</t>
  </si>
  <si>
    <t>Fair value loss/gain on biological assets</t>
  </si>
  <si>
    <t>Inconsistent and assumed zero</t>
  </si>
  <si>
    <t>Calculated as a percentage of opening cash balance to find out interest rate -&gt;Highly volatile so kept current year interest rate (smaller % = more prudence)</t>
  </si>
  <si>
    <t>Calculated as a percentage of opening total debt to infer interest rate -&gt; Used the average of both interest rates and kept constant</t>
  </si>
  <si>
    <t>Calculated historical % by taking tax expense / pre-tax profit -&gt; Used the average and kept constant</t>
  </si>
  <si>
    <t>PPE Depreciation</t>
  </si>
  <si>
    <t>Found implied depreciation rate (Depreciation of PPE / Opening PPE) -&gt; Used average rate and kept constant</t>
  </si>
  <si>
    <t xml:space="preserve">PPE </t>
  </si>
  <si>
    <t>PPE Closing Balance = PPE Opening Balance - Depreciation + Additions</t>
  </si>
  <si>
    <t>PPE Additions</t>
  </si>
  <si>
    <t>Calculated additions of PPE as a multiple of depreciation -&gt; A falling trend -&gt; -0.2x YoY</t>
  </si>
  <si>
    <t>Line-Item</t>
  </si>
  <si>
    <t>Non-Current Assets</t>
  </si>
  <si>
    <t>Intangibles</t>
  </si>
  <si>
    <t>Amount too small to have any meaningful rate changes -&gt; Held constant based on FY2025 values</t>
  </si>
  <si>
    <t>ROU Assets (Depreciation and Additions)</t>
  </si>
  <si>
    <t>Same approach as PPE, but implied depreciation rate and addition multiple too volatile, used FY2025 value and held constant</t>
  </si>
  <si>
    <t>ROU Closing = ROU Opening - Depreciation + Additions</t>
  </si>
  <si>
    <t>Biological Assets (Depreciation and Disposal)</t>
  </si>
  <si>
    <t>Same approach as PPE but no obvious trend, average of past values used and held constant</t>
  </si>
  <si>
    <t>Biological Assets (BA) Closing = BA Opening - Disposals + Additions</t>
  </si>
  <si>
    <t>Projected to grow in line with revenue growth</t>
  </si>
  <si>
    <t>Current Assets</t>
  </si>
  <si>
    <t>Scale with COGS Growth</t>
  </si>
  <si>
    <t>Grow with revenue growth</t>
  </si>
  <si>
    <t>Receivables &amp; Other Current Assets</t>
  </si>
  <si>
    <t>One-time entry in FY2025 -&gt; Inconsistent and assumed 0</t>
  </si>
  <si>
    <t>Cash and Cash Equivalents</t>
  </si>
  <si>
    <t>Calculated based on opening cash balance + any net changes in cash flow, strictly adhering to minimum balance of 5% of Revenue // Any excess cash is used to pay off revolver borrowing</t>
  </si>
  <si>
    <t>Non-Current Liabilities</t>
  </si>
  <si>
    <t>Long-Term Borrowing and Other Non-Current Liabilities</t>
  </si>
  <si>
    <t>Retained Earnings</t>
  </si>
  <si>
    <t>Category</t>
  </si>
  <si>
    <t>Subcategory</t>
  </si>
  <si>
    <t>Opening Balance + Finance Cost - Repayment + Acquisition of New Assets + Others - Derecognition of Lease + Exchange Difference = Closing Lease Liabilities</t>
  </si>
  <si>
    <t>Finance Cost</t>
  </si>
  <si>
    <t>Calculated as a % of opening lease liability -&gt; volatile and thus kept FY2025 % and held constant</t>
  </si>
  <si>
    <t>Calculated as % of opening lease liability -&gt; volatile but average is a good middle ground -&gt; average held constant</t>
  </si>
  <si>
    <t>Calculated as a multiple of ROU additions -&gt; Growing trend towards 1x -&gt; Kept at 1x</t>
  </si>
  <si>
    <t>Others, Derecognition of Lease, Exchange Differences</t>
  </si>
  <si>
    <t>Inconsistent and hard to predict -&gt; Kept at 0</t>
  </si>
  <si>
    <t>Closing Lease Liabilities</t>
  </si>
  <si>
    <t>Split into short-term and long-term based off historical share</t>
  </si>
  <si>
    <t>Current Liabilities</t>
  </si>
  <si>
    <t xml:space="preserve">Short-Term Borrowing </t>
  </si>
  <si>
    <t>Scale with revenue growth</t>
  </si>
  <si>
    <t>Payables &amp; Other Current Liabilities</t>
  </si>
  <si>
    <t>Revolver is drawn if cash balances don’t hit minimum 5% of revenue. If exceeds, any excess cash is used to payoff revolver borrowing; otherwise kept at 0</t>
  </si>
  <si>
    <t>Opening Share Capital + Shares Issuance (Kept constant at 2025 level) = Closing Share Capital</t>
  </si>
  <si>
    <t>Maintained at 2025 level</t>
  </si>
  <si>
    <t>Non-Distributable Reserves &amp; Non-Controlling Interest</t>
  </si>
  <si>
    <t>Retained Earnings (Opening) + Net Income - Dividend Payout (Kept constant at 2025 level) = Closing Retained Earnings</t>
  </si>
  <si>
    <t>Financial Statement</t>
  </si>
  <si>
    <t>Most assumptions made in previous statements</t>
  </si>
  <si>
    <t>Net Income (Earnings)</t>
  </si>
  <si>
    <t>Proceeds from disposal of Biological Assets</t>
  </si>
  <si>
    <t>WACC</t>
  </si>
  <si>
    <t>Cost of Debt</t>
  </si>
  <si>
    <t>Debt</t>
  </si>
  <si>
    <t>Total Debt</t>
  </si>
  <si>
    <t>Share of Debt</t>
  </si>
  <si>
    <t>Risk-Free Rate (10y government bond yield)</t>
  </si>
  <si>
    <t>https://www.worldgovernmentbonds.com/country/malaysia/</t>
  </si>
  <si>
    <t>https://finance.yahoo.com/quote/5306.KL/</t>
  </si>
  <si>
    <t>Cost of Equity</t>
  </si>
  <si>
    <t>CAPM Model</t>
  </si>
  <si>
    <t>Share</t>
  </si>
  <si>
    <t xml:space="preserve"> </t>
  </si>
  <si>
    <t>Market Capitalization (as of 11/8)</t>
  </si>
  <si>
    <t>Total Capital Structure</t>
  </si>
  <si>
    <t>Share of Equity</t>
  </si>
  <si>
    <t>Enterprise Value</t>
  </si>
  <si>
    <t>https://www.tradingview.com/symbols/MYX-FFB/</t>
  </si>
  <si>
    <t>Equity Risk Premium</t>
  </si>
  <si>
    <t>https://pages.stern.nyu.edu/~adamodar/New_Home_Page/datafile/ctryprem.html</t>
  </si>
  <si>
    <t>Terminal Value</t>
  </si>
  <si>
    <t>Growth Rate (Malaysia's GDP Growth Rate 10y)</t>
  </si>
  <si>
    <t>https://www.focus-economics.com/country-indicator/malaysia/gdp/</t>
  </si>
  <si>
    <t>(-) Total Debt</t>
  </si>
  <si>
    <t>(+) Cash</t>
  </si>
  <si>
    <t>Equity Value</t>
  </si>
  <si>
    <t>Implied Equity Premium (Multiple)</t>
  </si>
  <si>
    <t>Terminal Year (Normalized)</t>
  </si>
  <si>
    <t>Farm Fresh in FY2030 is in its high-growth phase</t>
  </si>
  <si>
    <t>A DCF's terminal value assumes company grows at constant rate forever</t>
  </si>
  <si>
    <t>So, we have to create a normalized terminal year as a proxy for Farm Fresh in mature, steady state</t>
  </si>
  <si>
    <t>D&amp;A = CAPEX because in steady state, company stopped expanding and scaling capacity</t>
  </si>
  <si>
    <t>Company is simply replacing worn-out fixed assets</t>
  </si>
  <si>
    <t>Change in NWC also has to get scaled down to grow at steady-state growth</t>
  </si>
  <si>
    <t>Levered Beta of Farm Fresh (1Y)</t>
  </si>
  <si>
    <t>EBITDA</t>
  </si>
  <si>
    <t>Exit Multiple</t>
  </si>
  <si>
    <t>Exit Equity Value</t>
  </si>
  <si>
    <t>MOIC</t>
  </si>
  <si>
    <t>IRR</t>
  </si>
  <si>
    <t>Sensitivity Analysis (for IC memo)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</si>
</sst>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\x"/>
    <numFmt numFmtId="166" formatCode="0.00\x"/>
  </numFmts>
  <fonts count="1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B0F0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sz val="11"/>
      <color rgb="FF1B0B55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0B55"/>
        <bgColor indexed="64"/>
      </patternFill>
    </fill>
    <fill>
      <patternFill patternType="solid">
        <fgColor rgb="FF4C0E52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9" fontId="13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3" fontId="0" fillId="0" borderId="0" xfId="0" applyNumberFormat="1"/>
    <xf numFmtId="0" fontId="4" fillId="0" borderId="0" xfId="0" applyFont="1"/>
    <xf numFmtId="3" fontId="2" fillId="0" borderId="0" xfId="0" applyNumberFormat="1" applyFont="1"/>
    <xf numFmtId="37" fontId="0" fillId="0" borderId="0" xfId="0" applyNumberFormat="1"/>
    <xf numFmtId="37" fontId="2" fillId="0" borderId="0" xfId="0" applyNumberFormat="1" applyFont="1"/>
    <xf numFmtId="37" fontId="5" fillId="0" borderId="0" xfId="0" applyNumberFormat="1" applyFont="1"/>
    <xf numFmtId="37" fontId="6" fillId="0" borderId="0" xfId="0" applyNumberFormat="1" applyFont="1"/>
    <xf numFmtId="164" fontId="0" fillId="0" borderId="0" xfId="0" applyNumberFormat="1"/>
    <xf numFmtId="0" fontId="7" fillId="0" borderId="0" xfId="0" applyFont="1"/>
    <xf numFmtId="0" fontId="0" fillId="2" borderId="0" xfId="0" applyFill="1"/>
    <xf numFmtId="0" fontId="3" fillId="2" borderId="0" xfId="0" applyFont="1" applyFill="1"/>
    <xf numFmtId="0" fontId="1" fillId="2" borderId="0" xfId="0" applyFont="1" applyFill="1" applyAlignment="1">
      <alignment horizontal="right"/>
    </xf>
    <xf numFmtId="0" fontId="3" fillId="0" borderId="0" xfId="0" applyFont="1"/>
    <xf numFmtId="0" fontId="1" fillId="2" borderId="0" xfId="0" applyFont="1" applyFill="1"/>
    <xf numFmtId="37" fontId="6" fillId="0" borderId="1" xfId="0" applyNumberFormat="1" applyFont="1" applyBorder="1"/>
    <xf numFmtId="37" fontId="2" fillId="0" borderId="1" xfId="0" applyNumberFormat="1" applyFont="1" applyBorder="1"/>
    <xf numFmtId="0" fontId="3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right"/>
    </xf>
    <xf numFmtId="0" fontId="0" fillId="3" borderId="0" xfId="0" applyFill="1"/>
    <xf numFmtId="3" fontId="5" fillId="0" borderId="0" xfId="0" applyNumberFormat="1" applyFont="1"/>
    <xf numFmtId="1" fontId="5" fillId="0" borderId="0" xfId="0" applyNumberFormat="1" applyFont="1"/>
    <xf numFmtId="0" fontId="0" fillId="4" borderId="0" xfId="0" applyFill="1"/>
    <xf numFmtId="0" fontId="1" fillId="4" borderId="0" xfId="0" applyFont="1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164" fontId="9" fillId="0" borderId="0" xfId="0" applyNumberFormat="1" applyFont="1"/>
    <xf numFmtId="37" fontId="11" fillId="0" borderId="0" xfId="0" applyNumberFormat="1" applyFont="1"/>
    <xf numFmtId="37" fontId="12" fillId="0" borderId="0" xfId="0" applyNumberFormat="1" applyFont="1"/>
    <xf numFmtId="164" fontId="7" fillId="0" borderId="0" xfId="0" applyNumberFormat="1" applyFont="1"/>
    <xf numFmtId="0" fontId="0" fillId="0" borderId="0" xfId="0" quotePrefix="1"/>
    <xf numFmtId="37" fontId="4" fillId="0" borderId="0" xfId="0" applyNumberFormat="1" applyFont="1"/>
    <xf numFmtId="165" fontId="0" fillId="0" borderId="0" xfId="0" applyNumberFormat="1"/>
    <xf numFmtId="10" fontId="9" fillId="0" borderId="0" xfId="1" applyNumberFormat="1" applyFont="1"/>
    <xf numFmtId="0" fontId="15" fillId="0" borderId="0" xfId="0" applyFont="1"/>
    <xf numFmtId="0" fontId="14" fillId="0" borderId="0" xfId="0" applyFont="1"/>
    <xf numFmtId="164" fontId="14" fillId="0" borderId="0" xfId="0" applyNumberFormat="1" applyFont="1"/>
    <xf numFmtId="164" fontId="15" fillId="0" borderId="0" xfId="0" applyNumberFormat="1" applyFont="1"/>
    <xf numFmtId="165" fontId="15" fillId="0" borderId="0" xfId="0" applyNumberFormat="1" applyFont="1"/>
    <xf numFmtId="0" fontId="0" fillId="5" borderId="0" xfId="0" applyFill="1"/>
    <xf numFmtId="0" fontId="3" fillId="5" borderId="0" xfId="0" applyFont="1" applyFill="1"/>
    <xf numFmtId="0" fontId="16" fillId="2" borderId="0" xfId="0" applyFont="1" applyFill="1"/>
    <xf numFmtId="164" fontId="2" fillId="0" borderId="0" xfId="0" applyNumberFormat="1" applyFont="1"/>
    <xf numFmtId="37" fontId="17" fillId="0" borderId="0" xfId="2" applyNumberFormat="1"/>
    <xf numFmtId="39" fontId="0" fillId="0" borderId="0" xfId="0" applyNumberFormat="1"/>
    <xf numFmtId="0" fontId="17" fillId="0" borderId="0" xfId="2"/>
    <xf numFmtId="0" fontId="18" fillId="4" borderId="0" xfId="0" applyFont="1" applyFill="1" applyAlignment="1">
      <alignment horizontal="center" vertical="center" wrapText="1"/>
    </xf>
    <xf numFmtId="3" fontId="0" fillId="0" borderId="0" xfId="0" applyNumberFormat="1" applyAlignment="1">
      <alignment vertical="center" wrapText="1"/>
    </xf>
    <xf numFmtId="165" fontId="0" fillId="0" borderId="0" xfId="0" applyNumberFormat="1" applyAlignment="1">
      <alignment horizontal="right" vertical="center" wrapText="1"/>
    </xf>
    <xf numFmtId="165" fontId="2" fillId="0" borderId="0" xfId="0" applyNumberFormat="1" applyFont="1" applyAlignment="1">
      <alignment horizontal="center" vertical="center" wrapText="1"/>
    </xf>
    <xf numFmtId="166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990033"/>
      <color rgb="FF1B0B55"/>
      <color rgb="FF4C0E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ocus-economics.com/country-indicator/malaysia/gdp/" TargetMode="External"/><Relationship Id="rId2" Type="http://schemas.openxmlformats.org/officeDocument/2006/relationships/hyperlink" Target="https://finance.yahoo.com/quote/5306.KL/" TargetMode="External"/><Relationship Id="rId1" Type="http://schemas.openxmlformats.org/officeDocument/2006/relationships/hyperlink" Target="https://www.worldgovernmentbonds.com/country/malaysi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F4834-2C6A-4BEC-8491-547C2062F662}">
  <dimension ref="A1:X56"/>
  <sheetViews>
    <sheetView showGridLines="0" workbookViewId="0">
      <selection activeCell="AB40" sqref="AB40"/>
    </sheetView>
  </sheetViews>
  <sheetFormatPr defaultRowHeight="15" x14ac:dyDescent="0.25"/>
  <cols>
    <col min="2" max="2" width="44.7109375" customWidth="1"/>
  </cols>
  <sheetData>
    <row r="1" spans="1:24" x14ac:dyDescent="0.25">
      <c r="G1" s="44"/>
      <c r="H1" t="s">
        <v>207</v>
      </c>
    </row>
    <row r="2" spans="1:24" x14ac:dyDescent="0.25">
      <c r="B2" s="3" t="s">
        <v>128</v>
      </c>
      <c r="G2" s="24"/>
      <c r="H2" t="s">
        <v>187</v>
      </c>
    </row>
    <row r="3" spans="1:24" x14ac:dyDescent="0.25">
      <c r="G3" s="43"/>
      <c r="H3" t="s">
        <v>188</v>
      </c>
    </row>
    <row r="4" spans="1:24" x14ac:dyDescent="0.25">
      <c r="G4" s="14"/>
    </row>
    <row r="5" spans="1:24" s="14" customFormat="1" x14ac:dyDescent="0.25">
      <c r="A5" s="12" t="s">
        <v>25</v>
      </c>
      <c r="B5" s="15" t="s">
        <v>0</v>
      </c>
      <c r="C5" s="15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spans="1:24" x14ac:dyDescent="0.25">
      <c r="A6" s="24"/>
      <c r="B6" s="25" t="s">
        <v>166</v>
      </c>
      <c r="C6" s="25"/>
      <c r="D6" s="24"/>
      <c r="E6" s="25" t="s">
        <v>149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</row>
    <row r="7" spans="1:24" s="14" customFormat="1" x14ac:dyDescent="0.25">
      <c r="B7" t="s">
        <v>1</v>
      </c>
      <c r="C7"/>
      <c r="D7"/>
      <c r="E7" t="s">
        <v>151</v>
      </c>
      <c r="F7"/>
      <c r="G7"/>
      <c r="H7"/>
      <c r="I7"/>
      <c r="J7"/>
      <c r="K7"/>
      <c r="L7"/>
      <c r="M7"/>
      <c r="N7"/>
      <c r="O7"/>
    </row>
    <row r="8" spans="1:24" x14ac:dyDescent="0.25">
      <c r="B8" t="s">
        <v>148</v>
      </c>
      <c r="E8" t="s">
        <v>150</v>
      </c>
    </row>
    <row r="9" spans="1:24" x14ac:dyDescent="0.25">
      <c r="B9" t="s">
        <v>32</v>
      </c>
      <c r="E9" t="s">
        <v>152</v>
      </c>
    </row>
    <row r="10" spans="1:24" x14ac:dyDescent="0.25">
      <c r="B10" t="s">
        <v>153</v>
      </c>
      <c r="E10" t="s">
        <v>154</v>
      </c>
    </row>
    <row r="11" spans="1:24" x14ac:dyDescent="0.25">
      <c r="B11" t="s">
        <v>155</v>
      </c>
      <c r="E11" t="s">
        <v>156</v>
      </c>
    </row>
    <row r="12" spans="1:24" x14ac:dyDescent="0.25">
      <c r="B12" t="s">
        <v>20</v>
      </c>
      <c r="E12" t="s">
        <v>157</v>
      </c>
    </row>
    <row r="13" spans="1:24" s="14" customFormat="1" x14ac:dyDescent="0.25">
      <c r="B13" t="s">
        <v>21</v>
      </c>
      <c r="C13"/>
      <c r="D13"/>
      <c r="E13" t="s">
        <v>158</v>
      </c>
      <c r="F13"/>
      <c r="G13"/>
      <c r="H13"/>
      <c r="I13"/>
      <c r="J13"/>
      <c r="K13"/>
      <c r="L13"/>
      <c r="M13"/>
      <c r="N13"/>
      <c r="O13"/>
    </row>
    <row r="14" spans="1:24" x14ac:dyDescent="0.25">
      <c r="B14" t="s">
        <v>24</v>
      </c>
      <c r="E14" t="s">
        <v>159</v>
      </c>
    </row>
    <row r="17" spans="1:24" s="14" customFormat="1" x14ac:dyDescent="0.25">
      <c r="A17" s="12" t="s">
        <v>25</v>
      </c>
      <c r="B17" s="15" t="s">
        <v>33</v>
      </c>
      <c r="C17" s="15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spans="1:24" x14ac:dyDescent="0.25">
      <c r="A18" s="24"/>
      <c r="B18" s="25" t="s">
        <v>167</v>
      </c>
      <c r="C18" s="25"/>
      <c r="D18" s="24"/>
      <c r="E18" s="25" t="s">
        <v>149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</row>
    <row r="19" spans="1:24" x14ac:dyDescent="0.25">
      <c r="B19" t="s">
        <v>160</v>
      </c>
      <c r="E19" t="s">
        <v>161</v>
      </c>
    </row>
    <row r="20" spans="1:24" x14ac:dyDescent="0.25">
      <c r="B20" t="s">
        <v>164</v>
      </c>
      <c r="E20" t="s">
        <v>165</v>
      </c>
    </row>
    <row r="21" spans="1:24" s="14" customFormat="1" x14ac:dyDescent="0.25">
      <c r="B21" t="s">
        <v>162</v>
      </c>
      <c r="C21"/>
      <c r="D21"/>
      <c r="E21" t="s">
        <v>163</v>
      </c>
      <c r="F21"/>
      <c r="G21"/>
      <c r="H21"/>
      <c r="I21"/>
      <c r="J21"/>
      <c r="K21"/>
      <c r="L21"/>
      <c r="M21"/>
      <c r="N21"/>
      <c r="O21"/>
    </row>
    <row r="22" spans="1:24" x14ac:dyDescent="0.25">
      <c r="B22" t="s">
        <v>168</v>
      </c>
      <c r="E22" t="s">
        <v>169</v>
      </c>
    </row>
    <row r="23" spans="1:24" x14ac:dyDescent="0.25">
      <c r="B23" t="s">
        <v>170</v>
      </c>
      <c r="E23" t="s">
        <v>171</v>
      </c>
    </row>
    <row r="24" spans="1:24" x14ac:dyDescent="0.25">
      <c r="B24" t="s">
        <v>40</v>
      </c>
      <c r="E24" t="s">
        <v>172</v>
      </c>
    </row>
    <row r="25" spans="1:24" x14ac:dyDescent="0.25">
      <c r="B25" t="s">
        <v>173</v>
      </c>
      <c r="E25" t="s">
        <v>174</v>
      </c>
    </row>
    <row r="26" spans="1:24" x14ac:dyDescent="0.25">
      <c r="B26" t="s">
        <v>37</v>
      </c>
      <c r="E26" t="s">
        <v>175</v>
      </c>
    </row>
    <row r="27" spans="1:24" x14ac:dyDescent="0.25">
      <c r="B27" t="s">
        <v>57</v>
      </c>
      <c r="E27" t="s">
        <v>176</v>
      </c>
    </row>
    <row r="29" spans="1:24" x14ac:dyDescent="0.25">
      <c r="A29" s="24"/>
      <c r="B29" s="25" t="s">
        <v>177</v>
      </c>
      <c r="C29" s="25"/>
      <c r="D29" s="24"/>
      <c r="E29" s="25" t="s">
        <v>149</v>
      </c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</row>
    <row r="30" spans="1:24" x14ac:dyDescent="0.25">
      <c r="B30" t="s">
        <v>42</v>
      </c>
      <c r="E30" t="s">
        <v>178</v>
      </c>
    </row>
    <row r="31" spans="1:24" x14ac:dyDescent="0.25">
      <c r="B31" t="s">
        <v>180</v>
      </c>
      <c r="E31" t="s">
        <v>179</v>
      </c>
    </row>
    <row r="32" spans="1:24" x14ac:dyDescent="0.25">
      <c r="B32" t="s">
        <v>52</v>
      </c>
      <c r="E32" t="s">
        <v>181</v>
      </c>
    </row>
    <row r="33" spans="1:24" x14ac:dyDescent="0.25">
      <c r="B33" t="s">
        <v>182</v>
      </c>
      <c r="E33" t="s">
        <v>183</v>
      </c>
    </row>
    <row r="35" spans="1:24" x14ac:dyDescent="0.25">
      <c r="A35" s="24"/>
      <c r="B35" s="25" t="s">
        <v>184</v>
      </c>
      <c r="C35" s="25"/>
      <c r="D35" s="24"/>
      <c r="E35" s="25" t="s">
        <v>149</v>
      </c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 spans="1:24" x14ac:dyDescent="0.25">
      <c r="B36" t="s">
        <v>185</v>
      </c>
      <c r="E36" t="s">
        <v>101</v>
      </c>
    </row>
    <row r="37" spans="1:24" x14ac:dyDescent="0.25">
      <c r="A37" s="42"/>
      <c r="B37" s="42" t="s">
        <v>60</v>
      </c>
      <c r="C37" s="42"/>
      <c r="D37" s="42"/>
      <c r="E37" s="42" t="s">
        <v>189</v>
      </c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</row>
    <row r="38" spans="1:24" x14ac:dyDescent="0.25">
      <c r="B38" t="s">
        <v>190</v>
      </c>
      <c r="E38" t="s">
        <v>191</v>
      </c>
    </row>
    <row r="39" spans="1:24" x14ac:dyDescent="0.25">
      <c r="B39" t="s">
        <v>88</v>
      </c>
      <c r="E39" t="s">
        <v>192</v>
      </c>
    </row>
    <row r="40" spans="1:24" x14ac:dyDescent="0.25">
      <c r="B40" t="s">
        <v>95</v>
      </c>
      <c r="E40" t="s">
        <v>193</v>
      </c>
    </row>
    <row r="41" spans="1:24" x14ac:dyDescent="0.25">
      <c r="B41" t="s">
        <v>194</v>
      </c>
      <c r="E41" t="s">
        <v>195</v>
      </c>
    </row>
    <row r="42" spans="1:24" x14ac:dyDescent="0.25">
      <c r="B42" t="s">
        <v>196</v>
      </c>
      <c r="E42" t="s">
        <v>197</v>
      </c>
    </row>
    <row r="44" spans="1:24" x14ac:dyDescent="0.25">
      <c r="A44" s="24"/>
      <c r="B44" s="25" t="s">
        <v>198</v>
      </c>
      <c r="C44" s="25"/>
      <c r="D44" s="24"/>
      <c r="E44" s="25" t="s">
        <v>149</v>
      </c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</row>
    <row r="45" spans="1:24" x14ac:dyDescent="0.25">
      <c r="B45" t="s">
        <v>199</v>
      </c>
      <c r="E45" t="s">
        <v>200</v>
      </c>
    </row>
    <row r="46" spans="1:24" x14ac:dyDescent="0.25">
      <c r="B46" t="s">
        <v>201</v>
      </c>
      <c r="E46" t="s">
        <v>178</v>
      </c>
    </row>
    <row r="47" spans="1:24" x14ac:dyDescent="0.25">
      <c r="B47" t="s">
        <v>68</v>
      </c>
      <c r="E47" t="s">
        <v>202</v>
      </c>
    </row>
    <row r="49" spans="1:24" x14ac:dyDescent="0.25">
      <c r="A49" s="24"/>
      <c r="B49" s="25" t="s">
        <v>79</v>
      </c>
      <c r="C49" s="25"/>
      <c r="D49" s="24"/>
      <c r="E49" s="25" t="s">
        <v>149</v>
      </c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</row>
    <row r="50" spans="1:24" x14ac:dyDescent="0.25">
      <c r="B50" t="s">
        <v>76</v>
      </c>
      <c r="E50" t="s">
        <v>203</v>
      </c>
    </row>
    <row r="51" spans="1:24" x14ac:dyDescent="0.25">
      <c r="B51" t="s">
        <v>205</v>
      </c>
      <c r="E51" t="s">
        <v>204</v>
      </c>
    </row>
    <row r="52" spans="1:24" x14ac:dyDescent="0.25">
      <c r="B52" t="s">
        <v>186</v>
      </c>
      <c r="E52" t="s">
        <v>206</v>
      </c>
    </row>
    <row r="55" spans="1:24" s="14" customFormat="1" x14ac:dyDescent="0.25">
      <c r="A55" s="12" t="s">
        <v>25</v>
      </c>
      <c r="B55" s="15" t="s">
        <v>110</v>
      </c>
      <c r="C55" s="15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r="56" spans="1:24" x14ac:dyDescent="0.25">
      <c r="A56" s="24"/>
      <c r="B56" s="25" t="s">
        <v>208</v>
      </c>
      <c r="C56" s="25"/>
      <c r="D56" s="24"/>
      <c r="E56" s="25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6701E-FC3D-49DA-AAC1-AE3E89DD6494}">
  <dimension ref="A2:N33"/>
  <sheetViews>
    <sheetView showGridLines="0" zoomScale="85" zoomScaleNormal="85" workbookViewId="0">
      <pane ySplit="2" topLeftCell="A3" activePane="bottomLeft" state="frozen"/>
      <selection pane="bottomLeft" activeCell="P29" sqref="P29"/>
    </sheetView>
  </sheetViews>
  <sheetFormatPr defaultRowHeight="15" x14ac:dyDescent="0.25"/>
  <cols>
    <col min="2" max="2" width="27.7109375" customWidth="1"/>
    <col min="10" max="10" width="33.28515625" bestFit="1" customWidth="1"/>
  </cols>
  <sheetData>
    <row r="2" spans="1:14" x14ac:dyDescent="0.25">
      <c r="A2" s="21"/>
      <c r="B2" s="19" t="s">
        <v>73</v>
      </c>
      <c r="C2" s="21"/>
      <c r="D2" s="20" t="s">
        <v>2</v>
      </c>
      <c r="E2" s="20" t="s">
        <v>3</v>
      </c>
      <c r="F2" s="20" t="s">
        <v>4</v>
      </c>
      <c r="I2" s="21"/>
      <c r="J2" s="19" t="s">
        <v>74</v>
      </c>
      <c r="K2" s="21"/>
      <c r="L2" s="20" t="s">
        <v>2</v>
      </c>
      <c r="M2" s="20" t="s">
        <v>3</v>
      </c>
      <c r="N2" s="20" t="s">
        <v>4</v>
      </c>
    </row>
    <row r="3" spans="1:14" x14ac:dyDescent="0.25">
      <c r="A3" s="11"/>
      <c r="B3" s="15" t="s">
        <v>0</v>
      </c>
      <c r="C3" s="12"/>
      <c r="D3" s="15"/>
      <c r="E3" s="15"/>
      <c r="F3" s="15"/>
      <c r="I3" s="11"/>
      <c r="J3" s="15" t="s">
        <v>0</v>
      </c>
      <c r="K3" s="12"/>
      <c r="L3" s="15"/>
      <c r="M3" s="15"/>
      <c r="N3" s="15"/>
    </row>
    <row r="5" spans="1:14" x14ac:dyDescent="0.25">
      <c r="B5" t="s">
        <v>14</v>
      </c>
      <c r="D5" s="2">
        <f>9162-110</f>
        <v>9052</v>
      </c>
      <c r="E5" s="2">
        <v>11952</v>
      </c>
      <c r="F5" s="2">
        <v>6829</v>
      </c>
      <c r="L5" s="2"/>
      <c r="M5" s="2"/>
      <c r="N5" s="2"/>
    </row>
    <row r="6" spans="1:14" x14ac:dyDescent="0.25">
      <c r="B6" t="s">
        <v>18</v>
      </c>
      <c r="D6" s="2">
        <v>110</v>
      </c>
      <c r="E6">
        <v>502</v>
      </c>
      <c r="F6" s="2">
        <v>-2556</v>
      </c>
      <c r="L6" s="2"/>
      <c r="N6" s="2"/>
    </row>
    <row r="7" spans="1:14" x14ac:dyDescent="0.25">
      <c r="D7" s="2"/>
      <c r="F7" s="2"/>
      <c r="L7" s="2"/>
      <c r="N7" s="2"/>
    </row>
    <row r="8" spans="1:14" x14ac:dyDescent="0.25">
      <c r="B8" t="s">
        <v>16</v>
      </c>
      <c r="D8" s="2">
        <v>-51711</v>
      </c>
      <c r="E8" s="2">
        <v>-69727</v>
      </c>
      <c r="F8" s="2">
        <v>-88063</v>
      </c>
      <c r="L8" s="2"/>
      <c r="M8" s="2"/>
      <c r="N8" s="2"/>
    </row>
    <row r="9" spans="1:14" x14ac:dyDescent="0.25">
      <c r="B9" t="s">
        <v>15</v>
      </c>
      <c r="D9" s="2">
        <v>-35872</v>
      </c>
      <c r="E9" s="2">
        <v>-67425</v>
      </c>
      <c r="F9" s="2">
        <v>-88755</v>
      </c>
      <c r="L9" s="2"/>
      <c r="M9" s="2"/>
      <c r="N9" s="2"/>
    </row>
    <row r="10" spans="1:14" x14ac:dyDescent="0.25">
      <c r="B10" t="s">
        <v>17</v>
      </c>
      <c r="D10" s="2">
        <v>-7592</v>
      </c>
      <c r="E10" s="2">
        <v>-6337</v>
      </c>
      <c r="F10" s="2">
        <v>-10846</v>
      </c>
      <c r="L10" s="2"/>
      <c r="M10" s="2"/>
      <c r="N10" s="2"/>
    </row>
    <row r="11" spans="1:14" x14ac:dyDescent="0.25">
      <c r="B11" s="1" t="s">
        <v>13</v>
      </c>
      <c r="D11" s="2">
        <f>SUM(D8:D10)</f>
        <v>-95175</v>
      </c>
      <c r="E11" s="2">
        <f t="shared" ref="E11:F11" si="0">SUM(E8:E10)</f>
        <v>-143489</v>
      </c>
      <c r="F11" s="2">
        <f t="shared" si="0"/>
        <v>-187664</v>
      </c>
      <c r="J11" s="1"/>
      <c r="L11" s="2"/>
      <c r="M11" s="2"/>
      <c r="N11" s="2"/>
    </row>
    <row r="13" spans="1:14" x14ac:dyDescent="0.25">
      <c r="A13" s="11"/>
      <c r="B13" s="15" t="s">
        <v>33</v>
      </c>
      <c r="C13" s="11"/>
      <c r="D13" s="11"/>
      <c r="E13" s="11"/>
      <c r="F13" s="11"/>
      <c r="I13" s="11"/>
      <c r="J13" s="15" t="s">
        <v>33</v>
      </c>
      <c r="K13" s="11"/>
      <c r="L13" s="11"/>
      <c r="M13" s="11"/>
      <c r="N13" s="11"/>
    </row>
    <row r="15" spans="1:14" x14ac:dyDescent="0.25">
      <c r="B15" t="s">
        <v>38</v>
      </c>
      <c r="D15" s="2">
        <v>1130</v>
      </c>
      <c r="E15">
        <v>563</v>
      </c>
      <c r="F15">
        <v>268</v>
      </c>
      <c r="J15" t="s">
        <v>66</v>
      </c>
      <c r="L15" s="2">
        <v>92934</v>
      </c>
      <c r="M15" s="2">
        <v>67648</v>
      </c>
      <c r="N15" s="2">
        <v>91622</v>
      </c>
    </row>
    <row r="16" spans="1:14" x14ac:dyDescent="0.25">
      <c r="B16" t="s">
        <v>39</v>
      </c>
      <c r="D16" s="2">
        <v>7673</v>
      </c>
      <c r="E16" s="2">
        <v>8926</v>
      </c>
      <c r="F16" s="2">
        <v>9371</v>
      </c>
      <c r="J16" t="s">
        <v>68</v>
      </c>
      <c r="L16" s="2">
        <v>14760</v>
      </c>
      <c r="M16">
        <v>0</v>
      </c>
      <c r="N16" s="2">
        <v>0</v>
      </c>
    </row>
    <row r="17" spans="2:14" x14ac:dyDescent="0.25">
      <c r="B17" s="1" t="s">
        <v>36</v>
      </c>
      <c r="D17" s="4">
        <f>SUM(D15:D16)</f>
        <v>8803</v>
      </c>
      <c r="E17" s="4">
        <f>SUM(E15:E16)</f>
        <v>9489</v>
      </c>
      <c r="F17" s="4">
        <f>SUM(F15:F16)</f>
        <v>9639</v>
      </c>
      <c r="J17" s="1" t="s">
        <v>75</v>
      </c>
      <c r="K17" s="1"/>
      <c r="L17" s="4">
        <f>L15-L16</f>
        <v>78174</v>
      </c>
      <c r="M17" s="4">
        <f t="shared" ref="M17:N17" si="1">M15-M16</f>
        <v>67648</v>
      </c>
      <c r="N17" s="4">
        <f t="shared" si="1"/>
        <v>91622</v>
      </c>
    </row>
    <row r="18" spans="2:14" x14ac:dyDescent="0.25">
      <c r="J18" s="1"/>
      <c r="L18" s="4"/>
      <c r="M18" s="4"/>
      <c r="N18" s="4"/>
    </row>
    <row r="19" spans="2:14" x14ac:dyDescent="0.25">
      <c r="B19" t="s">
        <v>46</v>
      </c>
      <c r="D19" s="2">
        <v>1541</v>
      </c>
      <c r="E19" s="2">
        <v>4509</v>
      </c>
      <c r="F19" s="2">
        <v>5446</v>
      </c>
    </row>
    <row r="20" spans="2:14" x14ac:dyDescent="0.25">
      <c r="B20" t="s">
        <v>47</v>
      </c>
      <c r="D20">
        <v>685</v>
      </c>
      <c r="E20">
        <v>893</v>
      </c>
      <c r="F20">
        <v>86</v>
      </c>
      <c r="L20" s="2"/>
      <c r="M20" s="2"/>
      <c r="N20" s="2"/>
    </row>
    <row r="21" spans="2:14" x14ac:dyDescent="0.25">
      <c r="B21" t="s">
        <v>48</v>
      </c>
      <c r="D21" s="2">
        <v>155790</v>
      </c>
      <c r="E21" s="2">
        <v>99944</v>
      </c>
      <c r="F21" s="2">
        <v>64037</v>
      </c>
    </row>
    <row r="22" spans="2:14" x14ac:dyDescent="0.25">
      <c r="B22" s="1" t="s">
        <v>49</v>
      </c>
      <c r="D22" s="4">
        <f>SUM(D19:D21)</f>
        <v>158016</v>
      </c>
      <c r="E22" s="4">
        <f>SUM(E19:E21)</f>
        <v>105346</v>
      </c>
      <c r="F22" s="4">
        <f>SUM(F19:F21)</f>
        <v>69569</v>
      </c>
      <c r="L22" s="2"/>
      <c r="M22" s="2"/>
      <c r="N22" s="2"/>
    </row>
    <row r="23" spans="2:14" x14ac:dyDescent="0.25">
      <c r="J23" s="1"/>
      <c r="L23" s="4"/>
      <c r="M23" s="4"/>
      <c r="N23" s="4"/>
    </row>
    <row r="24" spans="2:14" x14ac:dyDescent="0.25">
      <c r="B24" t="s">
        <v>58</v>
      </c>
      <c r="D24" s="2">
        <v>7731</v>
      </c>
      <c r="E24" s="2">
        <v>19161</v>
      </c>
      <c r="F24" s="2">
        <v>24345</v>
      </c>
    </row>
    <row r="25" spans="2:14" x14ac:dyDescent="0.25">
      <c r="B25" t="s">
        <v>59</v>
      </c>
      <c r="D25" s="2">
        <v>6226</v>
      </c>
      <c r="E25" s="2">
        <v>5955</v>
      </c>
      <c r="F25" s="2">
        <v>6703</v>
      </c>
      <c r="L25" s="2"/>
      <c r="M25" s="2"/>
      <c r="N25" s="2"/>
    </row>
    <row r="26" spans="2:14" x14ac:dyDescent="0.25">
      <c r="B26" t="s">
        <v>61</v>
      </c>
      <c r="D26" t="s">
        <v>53</v>
      </c>
      <c r="E26" s="2">
        <v>36955</v>
      </c>
      <c r="F26" s="2">
        <v>55833</v>
      </c>
      <c r="L26" s="2"/>
      <c r="M26" s="2"/>
      <c r="N26" s="2"/>
    </row>
    <row r="27" spans="2:14" x14ac:dyDescent="0.25">
      <c r="B27" s="1" t="s">
        <v>62</v>
      </c>
      <c r="D27" s="4">
        <f>SUM(D24:D26)</f>
        <v>13957</v>
      </c>
      <c r="E27" s="4">
        <f>SUM(E24:E26)</f>
        <v>62071</v>
      </c>
      <c r="F27" s="4">
        <f>SUM(F24:F26)</f>
        <v>86881</v>
      </c>
      <c r="M27" s="2"/>
      <c r="N27" s="2"/>
    </row>
    <row r="28" spans="2:14" x14ac:dyDescent="0.25">
      <c r="J28" s="1"/>
      <c r="L28" s="4"/>
      <c r="M28" s="4"/>
      <c r="N28" s="4"/>
    </row>
    <row r="29" spans="2:14" x14ac:dyDescent="0.25">
      <c r="B29" t="s">
        <v>59</v>
      </c>
      <c r="D29">
        <v>271</v>
      </c>
      <c r="E29">
        <v>271</v>
      </c>
      <c r="F29">
        <v>943</v>
      </c>
    </row>
    <row r="30" spans="2:14" x14ac:dyDescent="0.25">
      <c r="B30" t="s">
        <v>63</v>
      </c>
      <c r="D30" s="2">
        <v>1695</v>
      </c>
      <c r="E30" t="s">
        <v>53</v>
      </c>
      <c r="F30">
        <v>428</v>
      </c>
    </row>
    <row r="31" spans="2:14" x14ac:dyDescent="0.25">
      <c r="B31" t="s">
        <v>64</v>
      </c>
      <c r="D31" s="2" t="s">
        <v>53</v>
      </c>
      <c r="E31">
        <v>648</v>
      </c>
      <c r="F31" s="2">
        <v>1116</v>
      </c>
      <c r="L31" s="2"/>
    </row>
    <row r="32" spans="2:14" x14ac:dyDescent="0.25">
      <c r="B32" s="1" t="s">
        <v>65</v>
      </c>
      <c r="D32" s="4">
        <f>SUM(D29:D31)</f>
        <v>1966</v>
      </c>
      <c r="E32" s="4">
        <f>SUM(E29:E31)</f>
        <v>919</v>
      </c>
      <c r="F32" s="4">
        <f>SUM(F29:F31)</f>
        <v>2487</v>
      </c>
      <c r="L32" s="2"/>
      <c r="N32" s="2"/>
    </row>
    <row r="33" spans="2:14" x14ac:dyDescent="0.25">
      <c r="B33" s="1"/>
      <c r="J33" s="1"/>
      <c r="L33" s="4"/>
      <c r="M33" s="4"/>
      <c r="N3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3F776-6736-430A-B568-AC700817C181}">
  <dimension ref="A1:AA163"/>
  <sheetViews>
    <sheetView showGridLines="0" tabSelected="1" zoomScaleNormal="100" workbookViewId="0">
      <pane ySplit="2" topLeftCell="A3" activePane="bottomLeft" state="frozen"/>
      <selection pane="bottomLeft" activeCell="O13" sqref="O13"/>
    </sheetView>
  </sheetViews>
  <sheetFormatPr defaultRowHeight="15" x14ac:dyDescent="0.25"/>
  <cols>
    <col min="1" max="1" width="2.7109375" customWidth="1"/>
    <col min="2" max="2" width="42.42578125" customWidth="1"/>
    <col min="3" max="3" width="9" customWidth="1"/>
    <col min="4" max="6" width="10.85546875" customWidth="1"/>
    <col min="7" max="7" width="12.7109375" bestFit="1" customWidth="1"/>
    <col min="8" max="11" width="11.42578125" bestFit="1" customWidth="1"/>
    <col min="12" max="14" width="9.140625" style="27"/>
    <col min="15" max="15" width="10.28515625" style="27" customWidth="1"/>
    <col min="16" max="18" width="8.85546875" style="27" bestFit="1" customWidth="1"/>
    <col min="19" max="20" width="10.42578125" style="27" bestFit="1" customWidth="1"/>
    <col min="21" max="27" width="9.140625" style="27"/>
  </cols>
  <sheetData>
    <row r="1" spans="1:27" x14ac:dyDescent="0.25">
      <c r="A1" t="s">
        <v>10</v>
      </c>
    </row>
    <row r="2" spans="1:27" s="14" customFormat="1" x14ac:dyDescent="0.25">
      <c r="A2" s="18"/>
      <c r="B2" s="19"/>
      <c r="C2" s="19"/>
      <c r="D2" s="20" t="s">
        <v>2</v>
      </c>
      <c r="E2" s="20" t="s">
        <v>3</v>
      </c>
      <c r="F2" s="20" t="s">
        <v>4</v>
      </c>
      <c r="G2" s="20" t="s">
        <v>5</v>
      </c>
      <c r="H2" s="20" t="s">
        <v>6</v>
      </c>
      <c r="I2" s="20" t="s">
        <v>7</v>
      </c>
      <c r="J2" s="20" t="s">
        <v>8</v>
      </c>
      <c r="K2" s="20" t="s">
        <v>9</v>
      </c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spans="1:27" s="14" customFormat="1" x14ac:dyDescent="0.25">
      <c r="A3" s="12" t="s">
        <v>25</v>
      </c>
      <c r="B3" s="15" t="s">
        <v>0</v>
      </c>
      <c r="C3" s="15"/>
      <c r="D3" s="13"/>
      <c r="E3" s="13"/>
      <c r="F3" s="13"/>
      <c r="G3" s="13"/>
      <c r="H3" s="13"/>
      <c r="I3" s="13"/>
      <c r="J3" s="13"/>
      <c r="K3" s="13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spans="1:27" x14ac:dyDescent="0.25">
      <c r="B4" t="s">
        <v>1</v>
      </c>
      <c r="D4" s="7">
        <v>629691</v>
      </c>
      <c r="E4" s="7">
        <v>810411</v>
      </c>
      <c r="F4" s="7">
        <v>981181</v>
      </c>
      <c r="G4" s="5">
        <f>F4*(1+G21)</f>
        <v>1225356.7950772692</v>
      </c>
      <c r="H4" s="5">
        <f t="shared" ref="H4:K4" si="0">G4*(1+H21)</f>
        <v>1530297.9524084106</v>
      </c>
      <c r="I4" s="5">
        <f t="shared" si="0"/>
        <v>1911126.4837746322</v>
      </c>
      <c r="J4" s="5">
        <f t="shared" si="0"/>
        <v>2386727.6508058901</v>
      </c>
      <c r="K4" s="5">
        <f t="shared" si="0"/>
        <v>2980686.4838534431</v>
      </c>
    </row>
    <row r="5" spans="1:27" x14ac:dyDescent="0.25">
      <c r="B5" t="s">
        <v>11</v>
      </c>
      <c r="D5" s="7">
        <v>-480038</v>
      </c>
      <c r="E5" s="7">
        <v>-594368</v>
      </c>
      <c r="F5" s="7">
        <v>-665947</v>
      </c>
      <c r="G5" s="5">
        <f>-G4*(1-G23)</f>
        <v>-888168.9656540677</v>
      </c>
      <c r="H5" s="5">
        <f t="shared" ref="H5:J5" si="1">-H4*(1-H23)</f>
        <v>-1109197.8719940169</v>
      </c>
      <c r="I5" s="5">
        <f t="shared" si="1"/>
        <v>-1385231.8272909033</v>
      </c>
      <c r="J5" s="5">
        <f t="shared" si="1"/>
        <v>-1729959.337092963</v>
      </c>
      <c r="K5" s="5">
        <f>-K4*(1-K23)</f>
        <v>-2160475.4157634834</v>
      </c>
    </row>
    <row r="6" spans="1:27" x14ac:dyDescent="0.25">
      <c r="B6" s="1" t="s">
        <v>12</v>
      </c>
      <c r="C6" s="1"/>
      <c r="D6" s="8">
        <f>SUM(D4:D5)</f>
        <v>149653</v>
      </c>
      <c r="E6" s="8">
        <f t="shared" ref="E6:K6" si="2">SUM(E4:E5)</f>
        <v>216043</v>
      </c>
      <c r="F6" s="8">
        <f t="shared" si="2"/>
        <v>315234</v>
      </c>
      <c r="G6" s="6">
        <f t="shared" si="2"/>
        <v>337187.8294232015</v>
      </c>
      <c r="H6" s="6">
        <f t="shared" si="2"/>
        <v>421100.08041439368</v>
      </c>
      <c r="I6" s="6">
        <f t="shared" si="2"/>
        <v>525894.6564837289</v>
      </c>
      <c r="J6" s="6">
        <f t="shared" si="2"/>
        <v>656768.31371292705</v>
      </c>
      <c r="K6" s="6">
        <f t="shared" si="2"/>
        <v>820211.06808995968</v>
      </c>
    </row>
    <row r="7" spans="1:27" x14ac:dyDescent="0.25">
      <c r="B7" t="s">
        <v>19</v>
      </c>
      <c r="D7" s="7">
        <f>'Grouping OR Separating'!D5</f>
        <v>9052</v>
      </c>
      <c r="E7" s="7">
        <f>'Grouping OR Separating'!E5</f>
        <v>11952</v>
      </c>
      <c r="F7" s="7">
        <f>'Grouping OR Separating'!F5</f>
        <v>6829</v>
      </c>
      <c r="G7" s="5">
        <f>G4*G24</f>
        <v>14738.328834457237</v>
      </c>
      <c r="H7" s="5">
        <f t="shared" ref="H7:K7" si="3">H4*H24</f>
        <v>18406.095700370701</v>
      </c>
      <c r="I7" s="5">
        <f t="shared" si="3"/>
        <v>22986.619632149162</v>
      </c>
      <c r="J7" s="5">
        <f t="shared" si="3"/>
        <v>28707.04850798225</v>
      </c>
      <c r="K7" s="5">
        <f t="shared" si="3"/>
        <v>35851.058016684823</v>
      </c>
    </row>
    <row r="8" spans="1:27" x14ac:dyDescent="0.25">
      <c r="B8" t="s">
        <v>13</v>
      </c>
      <c r="D8" s="7">
        <f>'Grouping OR Separating'!D11</f>
        <v>-95175</v>
      </c>
      <c r="E8" s="7">
        <f>'Grouping OR Separating'!E11</f>
        <v>-143489</v>
      </c>
      <c r="F8" s="7">
        <f>'Grouping OR Separating'!F11</f>
        <v>-187664</v>
      </c>
      <c r="G8" s="5">
        <f>-G4*G25</f>
        <v>-212177.07289569208</v>
      </c>
      <c r="H8" s="5">
        <f t="shared" ref="H8:K8" si="4">-H4*H25</f>
        <v>-264979.26277857128</v>
      </c>
      <c r="I8" s="5">
        <f t="shared" si="4"/>
        <v>-330921.75674038497</v>
      </c>
      <c r="J8" s="5">
        <f t="shared" si="4"/>
        <v>-413274.6386861729</v>
      </c>
      <c r="K8" s="5">
        <f t="shared" si="4"/>
        <v>-516121.78257345507</v>
      </c>
    </row>
    <row r="9" spans="1:27" x14ac:dyDescent="0.25">
      <c r="B9" t="s">
        <v>18</v>
      </c>
      <c r="D9" s="7">
        <f>'Grouping OR Separating'!D6</f>
        <v>110</v>
      </c>
      <c r="E9" s="7">
        <f>'Grouping OR Separating'!E6</f>
        <v>502</v>
      </c>
      <c r="F9" s="7">
        <f>'Grouping OR Separating'!F6</f>
        <v>-2556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26"/>
    </row>
    <row r="10" spans="1:27" x14ac:dyDescent="0.25">
      <c r="B10" s="1" t="s">
        <v>23</v>
      </c>
      <c r="C10" s="1"/>
      <c r="D10" s="8">
        <f>SUM(D6:D9)</f>
        <v>63640</v>
      </c>
      <c r="E10" s="8">
        <f t="shared" ref="E10:K10" si="5">SUM(E6:E9)</f>
        <v>85008</v>
      </c>
      <c r="F10" s="8">
        <f t="shared" si="5"/>
        <v>131843</v>
      </c>
      <c r="G10" s="6">
        <f t="shared" si="5"/>
        <v>139749.08536196669</v>
      </c>
      <c r="H10" s="6">
        <f t="shared" si="5"/>
        <v>174526.91333619313</v>
      </c>
      <c r="I10" s="6">
        <f t="shared" si="5"/>
        <v>217959.51937549305</v>
      </c>
      <c r="J10" s="6">
        <f t="shared" si="5"/>
        <v>272200.72353473643</v>
      </c>
      <c r="K10" s="6">
        <f t="shared" si="5"/>
        <v>339940.34353318944</v>
      </c>
      <c r="V10"/>
      <c r="W10"/>
      <c r="X10"/>
      <c r="Y10"/>
      <c r="Z10"/>
      <c r="AA10"/>
    </row>
    <row r="11" spans="1:27" x14ac:dyDescent="0.25">
      <c r="D11" s="7"/>
      <c r="E11" s="7"/>
      <c r="F11" s="7"/>
      <c r="G11" s="5"/>
      <c r="H11" s="5"/>
      <c r="I11" s="5"/>
      <c r="J11" s="5"/>
      <c r="K11" s="5"/>
      <c r="O11" s="5"/>
      <c r="P11" s="5"/>
      <c r="Q11" s="5"/>
      <c r="R11" s="5"/>
      <c r="S11" s="5"/>
      <c r="T11" s="5"/>
    </row>
    <row r="12" spans="1:27" x14ac:dyDescent="0.25">
      <c r="B12" t="s">
        <v>20</v>
      </c>
      <c r="D12" s="7">
        <v>473</v>
      </c>
      <c r="E12" s="7">
        <v>937</v>
      </c>
      <c r="F12" s="7">
        <v>1062</v>
      </c>
      <c r="G12" s="5">
        <f>G26*F61</f>
        <v>1073.2833049667338</v>
      </c>
      <c r="H12" s="5">
        <f t="shared" ref="H12:K12" si="6">H26*G61</f>
        <v>1118.6144346210565</v>
      </c>
      <c r="I12" s="5">
        <f t="shared" si="6"/>
        <v>1396.9917869734838</v>
      </c>
      <c r="J12" s="5">
        <f t="shared" si="6"/>
        <v>1744.6458694523178</v>
      </c>
      <c r="K12" s="5">
        <f t="shared" si="6"/>
        <v>2178.8168249659216</v>
      </c>
      <c r="O12" s="5"/>
      <c r="P12" s="5"/>
      <c r="Q12" s="9"/>
      <c r="R12" s="9"/>
      <c r="S12" s="9"/>
      <c r="T12" s="9"/>
    </row>
    <row r="13" spans="1:27" x14ac:dyDescent="0.25">
      <c r="B13" t="s">
        <v>21</v>
      </c>
      <c r="D13" s="7">
        <v>-11939</v>
      </c>
      <c r="E13" s="7">
        <v>-16880</v>
      </c>
      <c r="F13" s="7">
        <v>-17672</v>
      </c>
      <c r="G13" s="5">
        <f>G27*-F91</f>
        <v>-19149.260319527391</v>
      </c>
      <c r="H13" s="5">
        <f t="shared" ref="H13:K13" si="7">H27*-G91</f>
        <v>-22261.020636123074</v>
      </c>
      <c r="I13" s="5">
        <f t="shared" si="7"/>
        <v>-26591.072615533551</v>
      </c>
      <c r="J13" s="5">
        <f t="shared" si="7"/>
        <v>-30517.195436727798</v>
      </c>
      <c r="K13" s="5">
        <f t="shared" si="7"/>
        <v>-33845.680488098951</v>
      </c>
      <c r="O13"/>
      <c r="P13" s="9"/>
      <c r="Q13" s="9"/>
      <c r="R13" s="9"/>
      <c r="S13" s="9"/>
      <c r="T13" s="9"/>
    </row>
    <row r="14" spans="1:27" x14ac:dyDescent="0.25">
      <c r="B14" s="1" t="s">
        <v>22</v>
      </c>
      <c r="C14" s="1"/>
      <c r="D14" s="8">
        <f>D10+D12+D13</f>
        <v>52174</v>
      </c>
      <c r="E14" s="8">
        <f t="shared" ref="E14:K14" si="8">E10+E12+E13</f>
        <v>69065</v>
      </c>
      <c r="F14" s="8">
        <f t="shared" si="8"/>
        <v>115233</v>
      </c>
      <c r="G14" s="6">
        <f t="shared" si="8"/>
        <v>121673.10834740603</v>
      </c>
      <c r="H14" s="6">
        <f t="shared" si="8"/>
        <v>153384.50713469111</v>
      </c>
      <c r="I14" s="6">
        <f t="shared" si="8"/>
        <v>192765.438546933</v>
      </c>
      <c r="J14" s="6">
        <f t="shared" si="8"/>
        <v>243428.17396746096</v>
      </c>
      <c r="K14" s="6">
        <f t="shared" si="8"/>
        <v>308273.47987005644</v>
      </c>
      <c r="O14" s="5"/>
      <c r="P14" s="5"/>
      <c r="Q14" s="5"/>
      <c r="R14" s="5"/>
      <c r="S14" s="5"/>
      <c r="T14" s="5"/>
    </row>
    <row r="15" spans="1:27" x14ac:dyDescent="0.25">
      <c r="D15" s="7"/>
      <c r="E15" s="7"/>
      <c r="F15" s="7"/>
      <c r="G15" s="5"/>
      <c r="H15" s="5"/>
      <c r="I15" s="5"/>
      <c r="J15" s="5"/>
      <c r="K15" s="5"/>
      <c r="O15" s="5"/>
      <c r="P15" s="9"/>
      <c r="Q15" s="9"/>
      <c r="R15" s="9"/>
      <c r="S15" s="9"/>
      <c r="T15" s="9"/>
    </row>
    <row r="16" spans="1:27" x14ac:dyDescent="0.25">
      <c r="B16" t="s">
        <v>24</v>
      </c>
      <c r="D16" s="7">
        <v>-2240</v>
      </c>
      <c r="E16" s="7">
        <v>-5784</v>
      </c>
      <c r="F16" s="7">
        <v>-7918</v>
      </c>
      <c r="G16" s="5">
        <f>-G14*G28</f>
        <v>-7924.7079271054108</v>
      </c>
      <c r="H16" s="5">
        <f t="shared" ref="H16:K16" si="9">-H14*H28</f>
        <v>-9990.1073959154528</v>
      </c>
      <c r="I16" s="5">
        <f t="shared" si="9"/>
        <v>-12555.032247250041</v>
      </c>
      <c r="J16" s="5">
        <f t="shared" si="9"/>
        <v>-15854.753824589538</v>
      </c>
      <c r="K16" s="5">
        <f t="shared" si="9"/>
        <v>-20078.202347451486</v>
      </c>
      <c r="O16" s="5"/>
      <c r="P16" s="5"/>
      <c r="Q16" s="5"/>
      <c r="R16" s="5"/>
      <c r="S16" s="5"/>
      <c r="T16" s="5"/>
    </row>
    <row r="17" spans="1:27" ht="15.75" thickBot="1" x14ac:dyDescent="0.3">
      <c r="B17" s="1" t="s">
        <v>209</v>
      </c>
      <c r="C17" s="1"/>
      <c r="D17" s="16">
        <f>D14+D16</f>
        <v>49934</v>
      </c>
      <c r="E17" s="16">
        <f t="shared" ref="E17:K17" si="10">E14+E16</f>
        <v>63281</v>
      </c>
      <c r="F17" s="16">
        <f t="shared" si="10"/>
        <v>107315</v>
      </c>
      <c r="G17" s="17">
        <f t="shared" si="10"/>
        <v>113748.40042030062</v>
      </c>
      <c r="H17" s="17">
        <f t="shared" si="10"/>
        <v>143394.39973877565</v>
      </c>
      <c r="I17" s="17">
        <f t="shared" si="10"/>
        <v>180210.40629968297</v>
      </c>
      <c r="J17" s="17">
        <f t="shared" si="10"/>
        <v>227573.42014287142</v>
      </c>
      <c r="K17" s="17">
        <f t="shared" si="10"/>
        <v>288195.27752260497</v>
      </c>
      <c r="O17" s="5"/>
      <c r="P17" s="5"/>
      <c r="Q17" s="5"/>
      <c r="R17" s="5"/>
      <c r="S17" s="5"/>
      <c r="T17" s="5"/>
    </row>
    <row r="18" spans="1:27" ht="15.75" thickTop="1" x14ac:dyDescent="0.25">
      <c r="O18" s="5"/>
      <c r="P18" s="5"/>
      <c r="Q18" s="5"/>
      <c r="R18" s="5"/>
      <c r="S18" s="5"/>
      <c r="T18" s="5"/>
    </row>
    <row r="19" spans="1:27" x14ac:dyDescent="0.25">
      <c r="O19" s="5"/>
      <c r="P19" s="5"/>
      <c r="Q19" s="5"/>
      <c r="R19" s="5"/>
      <c r="S19" s="5"/>
      <c r="T19" s="5"/>
    </row>
    <row r="20" spans="1:27" s="14" customFormat="1" x14ac:dyDescent="0.25">
      <c r="A20" s="12" t="s">
        <v>25</v>
      </c>
      <c r="B20" s="15" t="s">
        <v>26</v>
      </c>
      <c r="C20" s="15"/>
      <c r="D20" s="12"/>
      <c r="E20" s="12"/>
      <c r="F20" s="12"/>
      <c r="G20" s="12"/>
      <c r="H20" s="12"/>
      <c r="I20" s="12"/>
      <c r="J20" s="12"/>
      <c r="K20" s="12"/>
      <c r="L20" s="28"/>
      <c r="M20" s="28"/>
      <c r="N20" s="28"/>
      <c r="O20" s="5"/>
      <c r="P20" s="5"/>
      <c r="Q20" s="5"/>
      <c r="R20" s="5"/>
      <c r="S20" s="5"/>
      <c r="T20" s="5"/>
      <c r="U20" s="28"/>
      <c r="V20" s="28"/>
      <c r="W20" s="28"/>
      <c r="X20" s="28"/>
      <c r="Y20" s="28"/>
      <c r="Z20" s="28"/>
      <c r="AA20" s="28"/>
    </row>
    <row r="21" spans="1:27" x14ac:dyDescent="0.25">
      <c r="B21" t="s">
        <v>27</v>
      </c>
      <c r="D21" s="9"/>
      <c r="E21" s="9">
        <f>E4/D4-1</f>
        <v>0.28699790849797768</v>
      </c>
      <c r="F21" s="9">
        <f>F4/E4-1</f>
        <v>0.21072023948342267</v>
      </c>
      <c r="G21" s="9">
        <f>AVERAGE(E21:F21)</f>
        <v>0.24885907399070017</v>
      </c>
      <c r="H21" s="9">
        <f>G21</f>
        <v>0.24885907399070017</v>
      </c>
      <c r="I21" s="9">
        <f t="shared" ref="I21:K21" si="11">H21</f>
        <v>0.24885907399070017</v>
      </c>
      <c r="J21" s="9">
        <f t="shared" si="11"/>
        <v>0.24885907399070017</v>
      </c>
      <c r="K21" s="9">
        <f t="shared" si="11"/>
        <v>0.24885907399070017</v>
      </c>
      <c r="L21" s="29"/>
      <c r="O21" s="5"/>
      <c r="P21" s="5"/>
      <c r="Q21" s="5"/>
      <c r="R21" s="5"/>
      <c r="S21" s="5"/>
      <c r="T21" s="5"/>
    </row>
    <row r="22" spans="1:27" x14ac:dyDescent="0.25">
      <c r="B22" t="s">
        <v>28</v>
      </c>
      <c r="D22" s="9"/>
      <c r="E22" s="9">
        <f>E5/D5-1</f>
        <v>0.23816864498227219</v>
      </c>
      <c r="F22" s="9">
        <f t="shared" ref="F22:G22" si="12">F5/E5-1</f>
        <v>0.12042875794120822</v>
      </c>
      <c r="G22" s="9">
        <f t="shared" si="12"/>
        <v>0.3336931702583954</v>
      </c>
      <c r="H22" s="9">
        <f>H5/G5-1</f>
        <v>0.24885907399070017</v>
      </c>
      <c r="I22" s="9">
        <f t="shared" ref="I22:K22" si="13">I5/H5-1</f>
        <v>0.2488590739907004</v>
      </c>
      <c r="J22" s="9">
        <f t="shared" si="13"/>
        <v>0.24885907399070017</v>
      </c>
      <c r="K22" s="9">
        <f t="shared" si="13"/>
        <v>0.24885907399070017</v>
      </c>
      <c r="L22" s="29"/>
      <c r="O22" s="5"/>
      <c r="P22" s="5"/>
      <c r="Q22" s="5"/>
      <c r="R22" s="5"/>
      <c r="S22" s="5"/>
      <c r="T22" s="5"/>
    </row>
    <row r="23" spans="1:27" x14ac:dyDescent="0.25">
      <c r="B23" t="s">
        <v>32</v>
      </c>
      <c r="D23" s="9">
        <f>D6/D4</f>
        <v>0.23766101151199556</v>
      </c>
      <c r="E23" s="9">
        <f t="shared" ref="E23:F23" si="14">E6/E4</f>
        <v>0.26658448614345065</v>
      </c>
      <c r="F23" s="9">
        <f t="shared" si="14"/>
        <v>0.32128017154836874</v>
      </c>
      <c r="G23" s="9">
        <f>AVERAGE(D23:F23)</f>
        <v>0.27517522306793835</v>
      </c>
      <c r="H23" s="9">
        <f>G23</f>
        <v>0.27517522306793835</v>
      </c>
      <c r="I23" s="9">
        <f t="shared" ref="I23:K23" si="15">H23</f>
        <v>0.27517522306793835</v>
      </c>
      <c r="J23" s="9">
        <f t="shared" si="15"/>
        <v>0.27517522306793835</v>
      </c>
      <c r="K23" s="9">
        <f t="shared" si="15"/>
        <v>0.27517522306793835</v>
      </c>
      <c r="L23" s="29"/>
      <c r="O23" s="5"/>
      <c r="P23" s="5"/>
      <c r="Q23" s="5"/>
      <c r="R23" s="5"/>
      <c r="S23" s="5"/>
      <c r="T23" s="5"/>
    </row>
    <row r="24" spans="1:27" x14ac:dyDescent="0.25">
      <c r="B24" t="s">
        <v>29</v>
      </c>
      <c r="D24" s="9">
        <f>D7/D4</f>
        <v>1.4375304712946509E-2</v>
      </c>
      <c r="E24" s="9">
        <f t="shared" ref="E24:F24" si="16">E7/E4</f>
        <v>1.4748072274438525E-2</v>
      </c>
      <c r="F24" s="9">
        <f t="shared" si="16"/>
        <v>6.9599798610042391E-3</v>
      </c>
      <c r="G24" s="9">
        <f>AVERAGE(D24:F24)</f>
        <v>1.2027785616129757E-2</v>
      </c>
      <c r="H24" s="9">
        <f>G24</f>
        <v>1.2027785616129757E-2</v>
      </c>
      <c r="I24" s="9">
        <f t="shared" ref="I24:K24" si="17">H24</f>
        <v>1.2027785616129757E-2</v>
      </c>
      <c r="J24" s="9">
        <f t="shared" si="17"/>
        <v>1.2027785616129757E-2</v>
      </c>
      <c r="K24" s="9">
        <f t="shared" si="17"/>
        <v>1.2027785616129757E-2</v>
      </c>
      <c r="L24" s="29"/>
      <c r="O24" s="5"/>
      <c r="P24" s="5"/>
      <c r="Q24" s="5"/>
      <c r="R24" s="5"/>
      <c r="S24" s="5"/>
      <c r="T24" s="5"/>
    </row>
    <row r="25" spans="1:27" x14ac:dyDescent="0.25">
      <c r="B25" t="s">
        <v>30</v>
      </c>
      <c r="D25" s="9">
        <f>-D8/D4</f>
        <v>0.15114556187082234</v>
      </c>
      <c r="E25" s="9">
        <f t="shared" ref="E25:F25" si="18">-E8/E4</f>
        <v>0.17705707350961425</v>
      </c>
      <c r="F25" s="9">
        <f t="shared" si="18"/>
        <v>0.19126338565463458</v>
      </c>
      <c r="G25" s="9">
        <f t="shared" ref="G25:G27" si="19">AVERAGE(D25:F25)</f>
        <v>0.17315534034502375</v>
      </c>
      <c r="H25" s="9">
        <f t="shared" ref="H25:K26" si="20">G25</f>
        <v>0.17315534034502375</v>
      </c>
      <c r="I25" s="9">
        <f t="shared" si="20"/>
        <v>0.17315534034502375</v>
      </c>
      <c r="J25" s="9">
        <f t="shared" si="20"/>
        <v>0.17315534034502375</v>
      </c>
      <c r="K25" s="9">
        <f t="shared" si="20"/>
        <v>0.17315534034502375</v>
      </c>
      <c r="L25" s="29"/>
      <c r="O25" s="5"/>
      <c r="P25" s="5"/>
      <c r="Q25" s="5"/>
      <c r="R25" s="5"/>
      <c r="S25" s="5"/>
      <c r="T25" s="5"/>
    </row>
    <row r="26" spans="1:27" x14ac:dyDescent="0.25">
      <c r="B26" t="s">
        <v>131</v>
      </c>
      <c r="D26" s="9"/>
      <c r="E26" s="9">
        <f>E12/D61</f>
        <v>4.0792337831954725E-2</v>
      </c>
      <c r="F26" s="9">
        <f>F12/E61</f>
        <v>1.8257775027077209E-2</v>
      </c>
      <c r="G26" s="9">
        <f>F26</f>
        <v>1.8257775027077209E-2</v>
      </c>
      <c r="H26" s="9">
        <f t="shared" si="20"/>
        <v>1.8257775027077209E-2</v>
      </c>
      <c r="I26" s="9">
        <f t="shared" si="20"/>
        <v>1.8257775027077209E-2</v>
      </c>
      <c r="J26" s="9">
        <f t="shared" si="20"/>
        <v>1.8257775027077209E-2</v>
      </c>
      <c r="K26" s="9">
        <f t="shared" si="20"/>
        <v>1.8257775027077209E-2</v>
      </c>
      <c r="L26" s="29"/>
      <c r="O26" s="5"/>
      <c r="P26" s="5"/>
      <c r="Q26" s="5"/>
      <c r="R26" s="5"/>
      <c r="S26" s="5"/>
      <c r="T26" s="5"/>
    </row>
    <row r="27" spans="1:27" x14ac:dyDescent="0.25">
      <c r="B27" t="s">
        <v>133</v>
      </c>
      <c r="D27" s="9"/>
      <c r="E27" s="9">
        <f>-E13/D91</f>
        <v>4.869197995782721E-2</v>
      </c>
      <c r="F27" s="9">
        <f>-F13/E91</f>
        <v>4.1024688635334809E-2</v>
      </c>
      <c r="G27" s="9">
        <f t="shared" si="19"/>
        <v>4.4858334296581009E-2</v>
      </c>
      <c r="H27" s="9">
        <f t="shared" ref="H27:K28" si="21">G27</f>
        <v>4.4858334296581009E-2</v>
      </c>
      <c r="I27" s="9">
        <f t="shared" si="21"/>
        <v>4.4858334296581009E-2</v>
      </c>
      <c r="J27" s="9">
        <f t="shared" si="21"/>
        <v>4.4858334296581009E-2</v>
      </c>
      <c r="K27" s="9">
        <f t="shared" si="21"/>
        <v>4.4858334296581009E-2</v>
      </c>
      <c r="L27" s="29"/>
      <c r="P27" s="5"/>
      <c r="Q27" s="5"/>
      <c r="R27" s="5"/>
      <c r="S27" s="5"/>
      <c r="T27" s="5"/>
    </row>
    <row r="28" spans="1:27" x14ac:dyDescent="0.25">
      <c r="B28" t="s">
        <v>31</v>
      </c>
      <c r="D28" s="9">
        <f>-D16/D14</f>
        <v>4.2933261777897039E-2</v>
      </c>
      <c r="E28" s="9">
        <f t="shared" ref="E28:F28" si="22">-E16/E14</f>
        <v>8.3747194671686093E-2</v>
      </c>
      <c r="F28" s="9">
        <f t="shared" si="22"/>
        <v>6.8712955490180763E-2</v>
      </c>
      <c r="G28" s="9">
        <f>AVERAGE(D28:F28)</f>
        <v>6.5131137313254636E-2</v>
      </c>
      <c r="H28" s="9">
        <f t="shared" si="21"/>
        <v>6.5131137313254636E-2</v>
      </c>
      <c r="I28" s="9">
        <f t="shared" si="21"/>
        <v>6.5131137313254636E-2</v>
      </c>
      <c r="J28" s="9">
        <f t="shared" si="21"/>
        <v>6.5131137313254636E-2</v>
      </c>
      <c r="K28" s="9">
        <f t="shared" si="21"/>
        <v>6.5131137313254636E-2</v>
      </c>
      <c r="L28" s="29"/>
      <c r="P28" s="5"/>
      <c r="Q28" s="5"/>
      <c r="R28" s="5"/>
      <c r="S28" s="5"/>
      <c r="T28" s="5"/>
    </row>
    <row r="29" spans="1:27" x14ac:dyDescent="0.25">
      <c r="P29" s="5"/>
      <c r="Q29" s="5"/>
      <c r="R29" s="5"/>
      <c r="S29" s="5"/>
      <c r="T29" s="5"/>
      <c r="V29" s="36"/>
    </row>
    <row r="30" spans="1:27" x14ac:dyDescent="0.25">
      <c r="B30" t="s">
        <v>83</v>
      </c>
      <c r="D30" s="7">
        <v>-31064</v>
      </c>
      <c r="E30" s="7">
        <v>-40165</v>
      </c>
      <c r="F30" s="7">
        <v>-48080</v>
      </c>
      <c r="G30" s="5">
        <f>-F52*G32</f>
        <v>-49873.454020902514</v>
      </c>
      <c r="H30" s="5">
        <f>-G52*H32</f>
        <v>-55043.308440968001</v>
      </c>
      <c r="I30" s="5">
        <f>-H52*I32</f>
        <v>-59679.835002560234</v>
      </c>
      <c r="J30" s="5">
        <f>-I52*J32</f>
        <v>-63547.617515825688</v>
      </c>
      <c r="K30" s="5">
        <f>-J52*K32</f>
        <v>-66431.635902130962</v>
      </c>
    </row>
    <row r="31" spans="1:27" x14ac:dyDescent="0.25">
      <c r="B31" t="s">
        <v>87</v>
      </c>
      <c r="D31" s="22">
        <v>117834</v>
      </c>
      <c r="E31" s="22">
        <v>105976</v>
      </c>
      <c r="F31" s="22">
        <v>109010</v>
      </c>
      <c r="G31" s="2">
        <f>-G30*G33</f>
        <v>103101.54095161364</v>
      </c>
      <c r="H31" s="2">
        <f t="shared" ref="H31:K31" si="23">-H30*H33</f>
        <v>102780.32747947639</v>
      </c>
      <c r="I31" s="2">
        <f t="shared" si="23"/>
        <v>99501.974489917484</v>
      </c>
      <c r="J31" s="2">
        <f t="shared" si="23"/>
        <v>93241.061257725421</v>
      </c>
      <c r="K31" s="2">
        <f t="shared" si="23"/>
        <v>84186.347244526609</v>
      </c>
    </row>
    <row r="32" spans="1:27" x14ac:dyDescent="0.25">
      <c r="B32" s="10" t="s">
        <v>126</v>
      </c>
      <c r="E32" s="32">
        <f>-E30/D52</f>
        <v>9.7049492462445125E-2</v>
      </c>
      <c r="F32" s="32">
        <f>-F30/E52</f>
        <v>9.7203381092648491E-2</v>
      </c>
      <c r="G32" s="32">
        <f>AVERAGE(E32:F32)</f>
        <v>9.7126436777546815E-2</v>
      </c>
      <c r="H32" s="32">
        <f>G32</f>
        <v>9.7126436777546815E-2</v>
      </c>
      <c r="I32" s="32">
        <f t="shared" ref="I32:K32" si="24">H32</f>
        <v>9.7126436777546815E-2</v>
      </c>
      <c r="J32" s="32">
        <f t="shared" si="24"/>
        <v>9.7126436777546815E-2</v>
      </c>
      <c r="K32" s="32">
        <f t="shared" si="24"/>
        <v>9.7126436777546815E-2</v>
      </c>
    </row>
    <row r="33" spans="2:12" x14ac:dyDescent="0.25">
      <c r="B33" s="10" t="s">
        <v>129</v>
      </c>
      <c r="D33" s="35">
        <f>D31/-D30</f>
        <v>3.7932655163533351</v>
      </c>
      <c r="E33" s="35">
        <f t="shared" ref="E33:F33" si="25">E31/-E30</f>
        <v>2.6385161210008712</v>
      </c>
      <c r="F33" s="35">
        <f t="shared" si="25"/>
        <v>2.2672628951747087</v>
      </c>
      <c r="G33" s="35">
        <f>F33-0.2</f>
        <v>2.0672628951747085</v>
      </c>
      <c r="H33" s="35">
        <f t="shared" ref="H33:K33" si="26">G33-0.2</f>
        <v>1.8672628951747086</v>
      </c>
      <c r="I33" s="35">
        <f t="shared" si="26"/>
        <v>1.6672628951747086</v>
      </c>
      <c r="J33" s="35">
        <f t="shared" si="26"/>
        <v>1.4672628951747086</v>
      </c>
      <c r="K33" s="35">
        <f t="shared" si="26"/>
        <v>1.2672628951747087</v>
      </c>
    </row>
    <row r="35" spans="2:12" x14ac:dyDescent="0.25">
      <c r="B35" t="s">
        <v>85</v>
      </c>
      <c r="D35" s="7">
        <v>-235</v>
      </c>
      <c r="E35" s="7">
        <v>-263</v>
      </c>
      <c r="F35" s="7">
        <v>-274</v>
      </c>
      <c r="G35" s="5">
        <f>F35</f>
        <v>-274</v>
      </c>
      <c r="H35" s="5">
        <f t="shared" ref="H35:K35" si="27">G35</f>
        <v>-274</v>
      </c>
      <c r="I35" s="5">
        <f t="shared" si="27"/>
        <v>-274</v>
      </c>
      <c r="J35" s="5">
        <f t="shared" si="27"/>
        <v>-274</v>
      </c>
      <c r="K35" s="5">
        <f t="shared" si="27"/>
        <v>-274</v>
      </c>
      <c r="L35" s="26"/>
    </row>
    <row r="36" spans="2:12" x14ac:dyDescent="0.25">
      <c r="B36" t="s">
        <v>86</v>
      </c>
      <c r="D36" s="23">
        <v>324.495</v>
      </c>
      <c r="E36" s="7">
        <v>1124</v>
      </c>
      <c r="F36" s="7">
        <v>623</v>
      </c>
      <c r="G36" s="5">
        <f>F36</f>
        <v>623</v>
      </c>
      <c r="H36" s="5">
        <f t="shared" ref="H36:K36" si="28">G36</f>
        <v>623</v>
      </c>
      <c r="I36" s="5">
        <f t="shared" si="28"/>
        <v>623</v>
      </c>
      <c r="J36" s="5">
        <f t="shared" si="28"/>
        <v>623</v>
      </c>
      <c r="K36" s="5">
        <f t="shared" si="28"/>
        <v>623</v>
      </c>
      <c r="L36" s="26"/>
    </row>
    <row r="38" spans="2:12" x14ac:dyDescent="0.25">
      <c r="B38" t="s">
        <v>84</v>
      </c>
      <c r="D38" s="7">
        <v>-1928</v>
      </c>
      <c r="E38" s="7">
        <v>-8158</v>
      </c>
      <c r="F38" s="7">
        <v>-10163</v>
      </c>
      <c r="G38" s="5">
        <f>-F54*G40</f>
        <v>-11188.688594372661</v>
      </c>
      <c r="H38" s="5">
        <f t="shared" ref="H38:K38" si="29">-G54*H40</f>
        <v>-12834.024367322461</v>
      </c>
      <c r="I38" s="5">
        <f t="shared" si="29"/>
        <v>-14721.312517703687</v>
      </c>
      <c r="J38" s="5">
        <f t="shared" si="29"/>
        <v>-16886.132988472153</v>
      </c>
      <c r="K38" s="5">
        <f t="shared" si="29"/>
        <v>-19369.297877581193</v>
      </c>
    </row>
    <row r="39" spans="2:12" x14ac:dyDescent="0.25">
      <c r="B39" t="s">
        <v>93</v>
      </c>
      <c r="D39" s="22">
        <v>6888</v>
      </c>
      <c r="E39" s="22">
        <v>11952</v>
      </c>
      <c r="F39" s="22">
        <v>15034</v>
      </c>
      <c r="G39" s="5">
        <f>-G38*G41</f>
        <v>16551.288431348872</v>
      </c>
      <c r="H39" s="5">
        <f t="shared" ref="H39:K39" si="30">-H38*H41</f>
        <v>18985.213257731564</v>
      </c>
      <c r="I39" s="5">
        <f t="shared" si="30"/>
        <v>21777.055238724512</v>
      </c>
      <c r="J39" s="5">
        <f t="shared" si="30"/>
        <v>24979.447343175274</v>
      </c>
      <c r="K39" s="5">
        <f t="shared" si="30"/>
        <v>28652.762402002918</v>
      </c>
    </row>
    <row r="40" spans="2:12" x14ac:dyDescent="0.25">
      <c r="B40" s="10" t="s">
        <v>125</v>
      </c>
      <c r="E40" s="32">
        <f>-E38/D54</f>
        <v>0.42097115434232935</v>
      </c>
      <c r="F40" s="32">
        <f>-F38/E54</f>
        <v>0.30681680956406232</v>
      </c>
      <c r="G40" s="32">
        <f>F40</f>
        <v>0.30681680956406232</v>
      </c>
      <c r="H40" s="32">
        <f t="shared" ref="H40:K40" si="31">G40</f>
        <v>0.30681680956406232</v>
      </c>
      <c r="I40" s="32">
        <f t="shared" si="31"/>
        <v>0.30681680956406232</v>
      </c>
      <c r="J40" s="32">
        <f t="shared" si="31"/>
        <v>0.30681680956406232</v>
      </c>
      <c r="K40" s="32">
        <f t="shared" si="31"/>
        <v>0.30681680956406232</v>
      </c>
      <c r="L40" s="26"/>
    </row>
    <row r="41" spans="2:12" x14ac:dyDescent="0.25">
      <c r="B41" s="10" t="s">
        <v>129</v>
      </c>
      <c r="D41" s="35">
        <f>D39/-D38</f>
        <v>3.5726141078838176</v>
      </c>
      <c r="E41" s="35">
        <f t="shared" ref="E41:F41" si="32">E39/-E38</f>
        <v>1.4650649669036528</v>
      </c>
      <c r="F41" s="35">
        <f t="shared" si="32"/>
        <v>1.4792876119256124</v>
      </c>
      <c r="G41" s="35">
        <f>F41</f>
        <v>1.4792876119256124</v>
      </c>
      <c r="H41" s="35">
        <f t="shared" ref="H41:K41" si="33">G41</f>
        <v>1.4792876119256124</v>
      </c>
      <c r="I41" s="35">
        <f t="shared" si="33"/>
        <v>1.4792876119256124</v>
      </c>
      <c r="J41" s="35">
        <f t="shared" si="33"/>
        <v>1.4792876119256124</v>
      </c>
      <c r="K41" s="35">
        <f t="shared" si="33"/>
        <v>1.4792876119256124</v>
      </c>
      <c r="L41" s="26"/>
    </row>
    <row r="43" spans="2:12" x14ac:dyDescent="0.25">
      <c r="B43" t="s">
        <v>118</v>
      </c>
      <c r="D43" s="7">
        <f>-(8209+294)</f>
        <v>-8503</v>
      </c>
      <c r="E43" s="7">
        <v>-5776</v>
      </c>
      <c r="F43" s="7">
        <v>-6025</v>
      </c>
      <c r="G43" s="5">
        <f>-F55*G45</f>
        <v>-6767.2582477830465</v>
      </c>
      <c r="H43" s="5">
        <f t="shared" ref="H43:K43" si="34">-G55*H45</f>
        <v>-7753.1927395867933</v>
      </c>
      <c r="I43" s="5">
        <f t="shared" si="34"/>
        <v>-8882.769868709247</v>
      </c>
      <c r="J43" s="5">
        <f t="shared" si="34"/>
        <v>-10176.917199230373</v>
      </c>
      <c r="K43" s="5">
        <f t="shared" si="34"/>
        <v>-11659.611271122645</v>
      </c>
    </row>
    <row r="44" spans="2:12" x14ac:dyDescent="0.25">
      <c r="B44" t="s">
        <v>119</v>
      </c>
      <c r="D44" s="7">
        <v>29364</v>
      </c>
      <c r="E44" s="7">
        <v>23538</v>
      </c>
      <c r="F44" s="7">
        <v>24323</v>
      </c>
      <c r="G44" s="5">
        <f>-G43*G46</f>
        <v>27448.510219565709</v>
      </c>
      <c r="H44" s="5">
        <f t="shared" ref="H44:K44" si="35">-H43*H46</f>
        <v>31447.534932855338</v>
      </c>
      <c r="I44" s="5">
        <f t="shared" si="35"/>
        <v>36029.185024702012</v>
      </c>
      <c r="J44" s="5">
        <f t="shared" si="35"/>
        <v>41278.344274545918</v>
      </c>
      <c r="K44" s="5">
        <f t="shared" si="35"/>
        <v>47292.263338172183</v>
      </c>
    </row>
    <row r="45" spans="2:12" x14ac:dyDescent="0.25">
      <c r="B45" s="10" t="s">
        <v>127</v>
      </c>
      <c r="D45" s="5"/>
      <c r="E45" s="32">
        <f>-E43/D55</f>
        <v>5.0141500425369377E-2</v>
      </c>
      <c r="F45" s="32">
        <f>-'3-Statement'!F43/'3-Statement'!E55</f>
        <v>4.5204225563458482E-2</v>
      </c>
      <c r="G45" s="32">
        <f>AVERAGE(E45:F45)</f>
        <v>4.767286299441393E-2</v>
      </c>
      <c r="H45" s="32">
        <f>G45</f>
        <v>4.767286299441393E-2</v>
      </c>
      <c r="I45" s="32">
        <f t="shared" ref="I45:K45" si="36">H45</f>
        <v>4.767286299441393E-2</v>
      </c>
      <c r="J45" s="32">
        <f t="shared" si="36"/>
        <v>4.767286299441393E-2</v>
      </c>
      <c r="K45" s="32">
        <f t="shared" si="36"/>
        <v>4.767286299441393E-2</v>
      </c>
    </row>
    <row r="46" spans="2:12" x14ac:dyDescent="0.25">
      <c r="B46" s="10" t="s">
        <v>130</v>
      </c>
      <c r="D46" s="35">
        <f>D44/-D43</f>
        <v>3.4533693990356347</v>
      </c>
      <c r="E46" s="35">
        <f t="shared" ref="E46:F46" si="37">E44/-E43</f>
        <v>4.0751385041551247</v>
      </c>
      <c r="F46" s="35">
        <f t="shared" si="37"/>
        <v>4.0370124481327805</v>
      </c>
      <c r="G46" s="35">
        <f>AVERAGE(E46:F46)</f>
        <v>4.0560754761439526</v>
      </c>
      <c r="H46" s="35">
        <f>G46</f>
        <v>4.0560754761439526</v>
      </c>
      <c r="I46" s="35">
        <f t="shared" ref="I46:K46" si="38">H46</f>
        <v>4.0560754761439526</v>
      </c>
      <c r="J46" s="35">
        <f t="shared" si="38"/>
        <v>4.0560754761439526</v>
      </c>
      <c r="K46" s="35">
        <f t="shared" si="38"/>
        <v>4.0560754761439526</v>
      </c>
      <c r="L46" s="35"/>
    </row>
    <row r="47" spans="2:12" x14ac:dyDescent="0.25">
      <c r="D47" s="7"/>
      <c r="E47" s="7"/>
      <c r="F47" s="7"/>
    </row>
    <row r="48" spans="2:12" x14ac:dyDescent="0.25">
      <c r="B48" s="10" t="s">
        <v>144</v>
      </c>
      <c r="D48" s="2">
        <f>D31+D36+D39+D44</f>
        <v>154410.495</v>
      </c>
      <c r="E48" s="2">
        <f t="shared" ref="E48:K48" si="39">E31+E36+E39+E44</f>
        <v>142590</v>
      </c>
      <c r="F48" s="2">
        <f t="shared" si="39"/>
        <v>148990</v>
      </c>
      <c r="G48" s="2">
        <f t="shared" si="39"/>
        <v>147724.33960252823</v>
      </c>
      <c r="H48" s="2">
        <f t="shared" si="39"/>
        <v>153836.07567006329</v>
      </c>
      <c r="I48" s="2">
        <f t="shared" si="39"/>
        <v>157931.21475334401</v>
      </c>
      <c r="J48" s="2">
        <f t="shared" si="39"/>
        <v>160121.85287544661</v>
      </c>
      <c r="K48" s="2">
        <f t="shared" si="39"/>
        <v>160754.37298470171</v>
      </c>
    </row>
    <row r="49" spans="1:12" x14ac:dyDescent="0.25">
      <c r="B49" s="10"/>
      <c r="D49" s="2"/>
      <c r="E49" s="2"/>
      <c r="F49" s="2"/>
      <c r="G49" s="2"/>
      <c r="H49" s="2"/>
      <c r="I49" s="2"/>
      <c r="J49" s="2"/>
      <c r="K49" s="2"/>
    </row>
    <row r="51" spans="1:12" x14ac:dyDescent="0.25">
      <c r="A51" s="12" t="s">
        <v>25</v>
      </c>
      <c r="B51" s="15" t="s">
        <v>33</v>
      </c>
      <c r="C51" s="15"/>
      <c r="D51" s="12"/>
      <c r="E51" s="12"/>
      <c r="F51" s="12"/>
      <c r="G51" s="12"/>
      <c r="H51" s="12"/>
      <c r="I51" s="12"/>
      <c r="J51" s="12"/>
      <c r="K51" s="12"/>
    </row>
    <row r="52" spans="1:12" x14ac:dyDescent="0.25">
      <c r="B52" t="s">
        <v>34</v>
      </c>
      <c r="D52" s="7">
        <v>413861</v>
      </c>
      <c r="E52" s="7">
        <v>494633</v>
      </c>
      <c r="F52" s="7">
        <v>513490</v>
      </c>
      <c r="G52" s="5">
        <f>F52+G30+G31</f>
        <v>566718.08693071117</v>
      </c>
      <c r="H52" s="5">
        <f>G52+H30+H31</f>
        <v>614455.10596921958</v>
      </c>
      <c r="I52" s="5">
        <f>H52+I30+I31</f>
        <v>654277.24545657681</v>
      </c>
      <c r="J52" s="5">
        <f>I52+J30+J31</f>
        <v>683970.68919847661</v>
      </c>
      <c r="K52" s="5">
        <f>J52+K30+K31</f>
        <v>701725.40054087224</v>
      </c>
      <c r="L52" s="26"/>
    </row>
    <row r="53" spans="1:12" x14ac:dyDescent="0.25">
      <c r="B53" t="s">
        <v>35</v>
      </c>
      <c r="D53" s="7">
        <v>19317</v>
      </c>
      <c r="E53" s="7">
        <v>112826</v>
      </c>
      <c r="F53" s="7">
        <v>111126</v>
      </c>
      <c r="G53" s="5">
        <f>F53+G35+G36</f>
        <v>111475</v>
      </c>
      <c r="H53" s="5">
        <f>G53+H35+H36</f>
        <v>111824</v>
      </c>
      <c r="I53" s="5">
        <f>H53+I35+I36</f>
        <v>112173</v>
      </c>
      <c r="J53" s="5">
        <f>I53+J35+J36</f>
        <v>112522</v>
      </c>
      <c r="K53" s="5">
        <f>J53+K35+K36</f>
        <v>112871</v>
      </c>
      <c r="L53" s="26"/>
    </row>
    <row r="54" spans="1:12" x14ac:dyDescent="0.25">
      <c r="B54" t="s">
        <v>40</v>
      </c>
      <c r="D54" s="7">
        <v>19379</v>
      </c>
      <c r="E54" s="7">
        <v>33124</v>
      </c>
      <c r="F54" s="7">
        <v>36467</v>
      </c>
      <c r="G54" s="5">
        <f>F54+G38+G39</f>
        <v>41829.599836976209</v>
      </c>
      <c r="H54" s="5">
        <f>G54+H38+H39</f>
        <v>47980.788727385312</v>
      </c>
      <c r="I54" s="5">
        <f>H54+I38+I39</f>
        <v>55036.531448406138</v>
      </c>
      <c r="J54" s="5">
        <f>I54+J38+J39</f>
        <v>63129.84580310926</v>
      </c>
      <c r="K54" s="5">
        <f>J54+K38+K39</f>
        <v>72413.310327530984</v>
      </c>
      <c r="L54" s="26"/>
    </row>
    <row r="55" spans="1:12" x14ac:dyDescent="0.25">
      <c r="B55" t="s">
        <v>37</v>
      </c>
      <c r="D55" s="7">
        <v>115194</v>
      </c>
      <c r="E55" s="7">
        <v>133284</v>
      </c>
      <c r="F55" s="7">
        <v>141952</v>
      </c>
      <c r="G55" s="5">
        <f>F55+G43+G44</f>
        <v>162633.25197178265</v>
      </c>
      <c r="H55" s="5">
        <f t="shared" ref="H55:K55" si="40">G55+H43+H44</f>
        <v>186327.59416505121</v>
      </c>
      <c r="I55" s="5">
        <f t="shared" si="40"/>
        <v>213474.009321044</v>
      </c>
      <c r="J55" s="5">
        <f t="shared" si="40"/>
        <v>244575.43639635952</v>
      </c>
      <c r="K55" s="5">
        <f t="shared" si="40"/>
        <v>280208.08846340905</v>
      </c>
      <c r="L55" s="26"/>
    </row>
    <row r="56" spans="1:12" x14ac:dyDescent="0.25">
      <c r="B56" t="s">
        <v>57</v>
      </c>
      <c r="D56" s="7">
        <f>'Grouping OR Separating'!D17</f>
        <v>8803</v>
      </c>
      <c r="E56" s="7">
        <f>'Grouping OR Separating'!E17</f>
        <v>9489</v>
      </c>
      <c r="F56" s="7">
        <f>'Grouping OR Separating'!F17</f>
        <v>9639</v>
      </c>
      <c r="G56" s="5">
        <f>F56*(1+G21)</f>
        <v>12037.752614196359</v>
      </c>
      <c r="H56" s="5">
        <f>G56*(1+H21)</f>
        <v>15033.456582694394</v>
      </c>
      <c r="I56" s="5">
        <f>H56*(1+I21)</f>
        <v>18774.668666743117</v>
      </c>
      <c r="J56" s="5">
        <f>I56*(1+J21)</f>
        <v>23446.915325631024</v>
      </c>
      <c r="K56" s="5">
        <f>J56*(1+K21)</f>
        <v>29281.892961505917</v>
      </c>
      <c r="L56" s="26"/>
    </row>
    <row r="57" spans="1:12" x14ac:dyDescent="0.25">
      <c r="B57" s="1" t="s">
        <v>41</v>
      </c>
      <c r="C57" s="1"/>
      <c r="D57" s="8">
        <f>SUM(D52:D56)</f>
        <v>576554</v>
      </c>
      <c r="E57" s="8">
        <f t="shared" ref="E57:G57" si="41">SUM(E52:E56)</f>
        <v>783356</v>
      </c>
      <c r="F57" s="8">
        <f t="shared" si="41"/>
        <v>812674</v>
      </c>
      <c r="G57" s="6">
        <f t="shared" si="41"/>
        <v>894693.69135366636</v>
      </c>
      <c r="H57" s="6">
        <f t="shared" ref="H57" si="42">SUM(H52:H56)</f>
        <v>975620.9454443506</v>
      </c>
      <c r="I57" s="6">
        <f t="shared" ref="I57:J57" si="43">SUM(I52:I56)</f>
        <v>1053735.4548927702</v>
      </c>
      <c r="J57" s="6">
        <f t="shared" si="43"/>
        <v>1127644.8867235763</v>
      </c>
      <c r="K57" s="6">
        <f t="shared" ref="K57" si="44">SUM(K52:K56)</f>
        <v>1196499.692293318</v>
      </c>
    </row>
    <row r="58" spans="1:12" x14ac:dyDescent="0.25">
      <c r="D58" s="7"/>
      <c r="E58" s="7"/>
      <c r="F58" s="7"/>
      <c r="G58" s="5"/>
      <c r="H58" s="5"/>
      <c r="I58" s="5"/>
      <c r="J58" s="5"/>
      <c r="K58" s="5"/>
    </row>
    <row r="59" spans="1:12" x14ac:dyDescent="0.25">
      <c r="B59" t="s">
        <v>42</v>
      </c>
      <c r="D59" s="7">
        <v>173675</v>
      </c>
      <c r="E59" s="7">
        <v>156299</v>
      </c>
      <c r="F59" s="7">
        <v>175332</v>
      </c>
      <c r="G59" s="5">
        <f>F59*(1+G22)</f>
        <v>233839.09092774498</v>
      </c>
      <c r="H59" s="5">
        <f>G59*(1+H22)</f>
        <v>292032.07055885071</v>
      </c>
      <c r="I59" s="5">
        <f>H59*(1+I22)</f>
        <v>364706.90121371316</v>
      </c>
      <c r="J59" s="5">
        <f>I59*(1+J22)</f>
        <v>455467.52292777557</v>
      </c>
      <c r="K59" s="5">
        <f>J59*(1+K22)</f>
        <v>568814.74891641981</v>
      </c>
      <c r="L59" s="26"/>
    </row>
    <row r="60" spans="1:12" x14ac:dyDescent="0.25">
      <c r="B60" t="s">
        <v>43</v>
      </c>
      <c r="D60" s="7">
        <v>131421</v>
      </c>
      <c r="E60" s="7">
        <v>176433</v>
      </c>
      <c r="F60" s="7">
        <v>206665</v>
      </c>
      <c r="G60" s="5">
        <f>F60*(1+G21)</f>
        <v>258095.46052628805</v>
      </c>
      <c r="H60" s="5">
        <f>G60*(1+H21)</f>
        <v>322324.85783406341</v>
      </c>
      <c r="I60" s="5">
        <f>H60*(1+I21)</f>
        <v>402538.32347883249</v>
      </c>
      <c r="J60" s="5">
        <f>I60*(1+J21)</f>
        <v>502713.63790554367</v>
      </c>
      <c r="K60" s="5">
        <f>J60*(1+K21)</f>
        <v>627818.48831721337</v>
      </c>
      <c r="L60" s="26"/>
    </row>
    <row r="61" spans="1:12" x14ac:dyDescent="0.25">
      <c r="B61" t="s">
        <v>44</v>
      </c>
      <c r="D61" s="7">
        <v>22970</v>
      </c>
      <c r="E61" s="7">
        <v>58167</v>
      </c>
      <c r="F61" s="7">
        <v>58785</v>
      </c>
      <c r="G61" s="5">
        <f>F61+G155</f>
        <v>61267.83975386346</v>
      </c>
      <c r="H61" s="5">
        <f>G61+H155</f>
        <v>76514.897620420554</v>
      </c>
      <c r="I61" s="5">
        <f>H61+I155</f>
        <v>95556.324188731611</v>
      </c>
      <c r="J61" s="5">
        <f>I61+J155</f>
        <v>119336.38254029451</v>
      </c>
      <c r="K61" s="5">
        <f>J61+K155</f>
        <v>149034.32419267215</v>
      </c>
      <c r="L61" s="26"/>
    </row>
    <row r="62" spans="1:12" x14ac:dyDescent="0.25">
      <c r="B62" t="s">
        <v>45</v>
      </c>
      <c r="D62" s="7">
        <f>'Grouping OR Separating'!D22</f>
        <v>158016</v>
      </c>
      <c r="E62" s="7">
        <f>'Grouping OR Separating'!E22</f>
        <v>105346</v>
      </c>
      <c r="F62" s="7">
        <f>'Grouping OR Separating'!F22</f>
        <v>69569</v>
      </c>
      <c r="G62" s="5">
        <f>F62*(1+G21)</f>
        <v>86881.87691845902</v>
      </c>
      <c r="H62" s="5">
        <f>G62*(1+H21)</f>
        <v>108503.22035496072</v>
      </c>
      <c r="I62" s="5">
        <f>H62*(1+I21)</f>
        <v>135505.23129750515</v>
      </c>
      <c r="J62" s="5">
        <f>I62*(1+J21)</f>
        <v>169226.93767909793</v>
      </c>
      <c r="K62" s="5">
        <f>J62*(1+K21)</f>
        <v>211340.59668420017</v>
      </c>
      <c r="L62" s="26"/>
    </row>
    <row r="63" spans="1:12" x14ac:dyDescent="0.25">
      <c r="B63" t="s">
        <v>52</v>
      </c>
      <c r="D63" s="7">
        <v>0</v>
      </c>
      <c r="E63" s="7">
        <v>0</v>
      </c>
      <c r="F63" s="7">
        <v>28144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26"/>
    </row>
    <row r="64" spans="1:12" x14ac:dyDescent="0.25">
      <c r="B64" s="1" t="s">
        <v>50</v>
      </c>
      <c r="C64" s="1"/>
      <c r="D64" s="8">
        <f>SUM(D59:D63)</f>
        <v>486082</v>
      </c>
      <c r="E64" s="8">
        <f>SUM(E59:E63)</f>
        <v>496245</v>
      </c>
      <c r="F64" s="8">
        <f>SUM(F59:F63)</f>
        <v>538495</v>
      </c>
      <c r="G64" s="6">
        <f>SUM(G59:G63)</f>
        <v>640084.26812635548</v>
      </c>
      <c r="H64" s="6">
        <f t="shared" ref="H64:K64" si="45">SUM(H59:H63)</f>
        <v>799375.04636829544</v>
      </c>
      <c r="I64" s="6">
        <f t="shared" si="45"/>
        <v>998306.7801787823</v>
      </c>
      <c r="J64" s="6">
        <f t="shared" si="45"/>
        <v>1246744.4810527116</v>
      </c>
      <c r="K64" s="6">
        <f t="shared" si="45"/>
        <v>1557008.1581105054</v>
      </c>
    </row>
    <row r="65" spans="2:12" x14ac:dyDescent="0.25">
      <c r="D65" s="7"/>
      <c r="E65" s="7"/>
      <c r="F65" s="7"/>
      <c r="G65" s="5"/>
      <c r="H65" s="5"/>
      <c r="I65" s="5"/>
      <c r="J65" s="5"/>
      <c r="K65" s="5"/>
    </row>
    <row r="66" spans="2:12" x14ac:dyDescent="0.25">
      <c r="B66" s="1" t="s">
        <v>51</v>
      </c>
      <c r="C66" s="1"/>
      <c r="D66" s="8">
        <f>D57+D64</f>
        <v>1062636</v>
      </c>
      <c r="E66" s="8">
        <f t="shared" ref="E66:K66" si="46">E57+E64</f>
        <v>1279601</v>
      </c>
      <c r="F66" s="8">
        <f t="shared" si="46"/>
        <v>1351169</v>
      </c>
      <c r="G66" s="6">
        <f t="shared" si="46"/>
        <v>1534777.9594800218</v>
      </c>
      <c r="H66" s="6">
        <f t="shared" si="46"/>
        <v>1774995.9918126459</v>
      </c>
      <c r="I66" s="6">
        <f t="shared" si="46"/>
        <v>2052042.2350715525</v>
      </c>
      <c r="J66" s="6">
        <f t="shared" si="46"/>
        <v>2374389.3677762877</v>
      </c>
      <c r="K66" s="6">
        <f t="shared" si="46"/>
        <v>2753507.8504038234</v>
      </c>
    </row>
    <row r="67" spans="2:12" x14ac:dyDescent="0.25">
      <c r="D67" s="7"/>
      <c r="E67" s="7"/>
      <c r="F67" s="7"/>
      <c r="G67" s="5"/>
      <c r="H67" s="5"/>
      <c r="I67" s="5"/>
      <c r="J67" s="5"/>
      <c r="K67" s="5"/>
    </row>
    <row r="68" spans="2:12" x14ac:dyDescent="0.25">
      <c r="B68" t="s">
        <v>54</v>
      </c>
      <c r="D68" s="7">
        <v>243318</v>
      </c>
      <c r="E68" s="7">
        <v>338365</v>
      </c>
      <c r="F68" s="7">
        <v>306282</v>
      </c>
      <c r="G68" s="5">
        <f>F68</f>
        <v>306282</v>
      </c>
      <c r="H68" s="5">
        <f t="shared" ref="H68:K68" si="47">G68</f>
        <v>306282</v>
      </c>
      <c r="I68" s="5">
        <f t="shared" si="47"/>
        <v>306282</v>
      </c>
      <c r="J68" s="5">
        <f t="shared" si="47"/>
        <v>306282</v>
      </c>
      <c r="K68" s="5">
        <f t="shared" si="47"/>
        <v>306282</v>
      </c>
      <c r="L68" s="26"/>
    </row>
    <row r="69" spans="2:12" x14ac:dyDescent="0.25">
      <c r="B69" t="s">
        <v>90</v>
      </c>
      <c r="D69" s="7">
        <v>8124</v>
      </c>
      <c r="E69" s="7">
        <v>16742</v>
      </c>
      <c r="F69" s="7">
        <v>20590</v>
      </c>
      <c r="G69" s="5">
        <f>G98</f>
        <v>21648.531584519969</v>
      </c>
      <c r="H69" s="5">
        <f t="shared" ref="H69:K69" si="48">H98</f>
        <v>23738.914407046312</v>
      </c>
      <c r="I69" s="5">
        <f t="shared" si="48"/>
        <v>26723.529493159844</v>
      </c>
      <c r="J69" s="5">
        <f t="shared" si="48"/>
        <v>30418.83578172146</v>
      </c>
      <c r="K69" s="5">
        <f t="shared" si="48"/>
        <v>34783.431168788025</v>
      </c>
      <c r="L69" s="26"/>
    </row>
    <row r="70" spans="2:12" x14ac:dyDescent="0.25">
      <c r="B70" t="s">
        <v>55</v>
      </c>
      <c r="D70" s="7">
        <f>'Grouping OR Separating'!D27</f>
        <v>13957</v>
      </c>
      <c r="E70" s="7">
        <f>'Grouping OR Separating'!E27</f>
        <v>62071</v>
      </c>
      <c r="F70" s="7">
        <f>'Grouping OR Separating'!F27</f>
        <v>86881</v>
      </c>
      <c r="G70" s="5">
        <f>F70</f>
        <v>86881</v>
      </c>
      <c r="H70" s="5">
        <f t="shared" ref="H70:K70" si="49">G70</f>
        <v>86881</v>
      </c>
      <c r="I70" s="5">
        <f t="shared" si="49"/>
        <v>86881</v>
      </c>
      <c r="J70" s="5">
        <f t="shared" si="49"/>
        <v>86881</v>
      </c>
      <c r="K70" s="5">
        <f t="shared" si="49"/>
        <v>86881</v>
      </c>
      <c r="L70" s="26"/>
    </row>
    <row r="71" spans="2:12" x14ac:dyDescent="0.25">
      <c r="B71" s="1" t="s">
        <v>56</v>
      </c>
      <c r="C71" s="1"/>
      <c r="D71" s="8">
        <f>SUM(D68:D70)</f>
        <v>265399</v>
      </c>
      <c r="E71" s="8">
        <f t="shared" ref="E71:K71" si="50">SUM(E68:E70)</f>
        <v>417178</v>
      </c>
      <c r="F71" s="8">
        <f t="shared" si="50"/>
        <v>413753</v>
      </c>
      <c r="G71" s="6">
        <f t="shared" si="50"/>
        <v>414811.53158451995</v>
      </c>
      <c r="H71" s="6">
        <f t="shared" si="50"/>
        <v>416901.91440704634</v>
      </c>
      <c r="I71" s="6">
        <f t="shared" si="50"/>
        <v>419886.52949315985</v>
      </c>
      <c r="J71" s="6">
        <f t="shared" si="50"/>
        <v>423581.83578172146</v>
      </c>
      <c r="K71" s="6">
        <f t="shared" si="50"/>
        <v>427946.431168788</v>
      </c>
    </row>
    <row r="72" spans="2:12" x14ac:dyDescent="0.25">
      <c r="D72" s="7"/>
      <c r="E72" s="7"/>
      <c r="F72" s="7"/>
      <c r="G72" s="5"/>
      <c r="H72" s="5"/>
      <c r="I72" s="5"/>
      <c r="J72" s="5"/>
      <c r="K72" s="5"/>
    </row>
    <row r="73" spans="2:12" x14ac:dyDescent="0.25">
      <c r="B73" t="s">
        <v>66</v>
      </c>
      <c r="D73" s="7">
        <f>'Grouping OR Separating'!L17</f>
        <v>78174</v>
      </c>
      <c r="E73" s="7">
        <f>'Grouping OR Separating'!M17</f>
        <v>67648</v>
      </c>
      <c r="F73" s="7">
        <f>'Grouping OR Separating'!N17</f>
        <v>91622</v>
      </c>
      <c r="G73" s="5">
        <f>F73*(1+G21)</f>
        <v>114422.96607717594</v>
      </c>
      <c r="H73" s="5">
        <f>G73*(1+H21)</f>
        <v>142898.15945841125</v>
      </c>
      <c r="I73" s="5">
        <f>H73*(1+I21)</f>
        <v>178459.66309620687</v>
      </c>
      <c r="J73" s="5">
        <f>I73*(1+J21)</f>
        <v>222870.96959902125</v>
      </c>
      <c r="K73" s="5">
        <f>J73*(1+K21)</f>
        <v>278334.43271284318</v>
      </c>
      <c r="L73" s="26"/>
    </row>
    <row r="74" spans="2:12" x14ac:dyDescent="0.25">
      <c r="B74" t="s">
        <v>68</v>
      </c>
      <c r="D74" s="7">
        <f>'Grouping OR Separating'!L16</f>
        <v>14760</v>
      </c>
      <c r="E74" s="7">
        <v>0</v>
      </c>
      <c r="F74" s="7">
        <v>0</v>
      </c>
      <c r="G74" s="5">
        <f>F74+G159</f>
        <v>45573.550700911153</v>
      </c>
      <c r="H74" s="5">
        <f>G74+H159</f>
        <v>110731.41190832187</v>
      </c>
      <c r="I74" s="5">
        <f>H74+I159</f>
        <v>158560.31832244873</v>
      </c>
      <c r="J74" s="5">
        <f>I74+J159</f>
        <v>183232.66573366642</v>
      </c>
      <c r="K74" s="5">
        <f>J74+K159</f>
        <v>178012.72328350626</v>
      </c>
    </row>
    <row r="75" spans="2:12" x14ac:dyDescent="0.25">
      <c r="B75" t="s">
        <v>67</v>
      </c>
      <c r="D75" s="7">
        <v>64142</v>
      </c>
      <c r="E75" s="7">
        <v>92875</v>
      </c>
      <c r="F75" s="7">
        <v>106679</v>
      </c>
      <c r="G75" s="5">
        <f>F75*(1+G22)</f>
        <v>142277.05370999535</v>
      </c>
      <c r="H75" s="5">
        <f>G75*(1+H22)</f>
        <v>177683.9895463899</v>
      </c>
      <c r="I75" s="5">
        <f>H75*(1+I22)</f>
        <v>221902.26264787777</v>
      </c>
      <c r="J75" s="5">
        <f>I75*(1+J22)</f>
        <v>277124.65424686979</v>
      </c>
      <c r="K75" s="5">
        <f>J75*(1+K22)</f>
        <v>346089.63908273878</v>
      </c>
      <c r="L75" s="26"/>
    </row>
    <row r="76" spans="2:12" x14ac:dyDescent="0.25">
      <c r="B76" t="s">
        <v>89</v>
      </c>
      <c r="D76" s="7">
        <v>2293</v>
      </c>
      <c r="E76" s="7">
        <v>8010</v>
      </c>
      <c r="F76" s="7">
        <v>8389</v>
      </c>
      <c r="G76" s="5">
        <f>G96</f>
        <v>8324.5620726862162</v>
      </c>
      <c r="H76" s="5">
        <f t="shared" ref="H76:K76" si="51">H96</f>
        <v>9128.3820220374564</v>
      </c>
      <c r="I76" s="5">
        <f t="shared" si="51"/>
        <v>10276.063260851544</v>
      </c>
      <c r="J76" s="5">
        <f t="shared" si="51"/>
        <v>11697.028302134782</v>
      </c>
      <c r="K76" s="5">
        <f t="shared" si="51"/>
        <v>13375.356694984119</v>
      </c>
    </row>
    <row r="77" spans="2:12" x14ac:dyDescent="0.25">
      <c r="B77" t="s">
        <v>69</v>
      </c>
      <c r="D77" s="7">
        <f>'Grouping OR Separating'!D32</f>
        <v>1966</v>
      </c>
      <c r="E77" s="7">
        <f>'Grouping OR Separating'!E32</f>
        <v>919</v>
      </c>
      <c r="F77" s="7">
        <f>'Grouping OR Separating'!F32</f>
        <v>2487</v>
      </c>
      <c r="G77" s="5">
        <f>F77*(1+G22)</f>
        <v>3316.8949144326293</v>
      </c>
      <c r="H77" s="5">
        <f>G77*(1+H22)</f>
        <v>4142.3343113627961</v>
      </c>
      <c r="I77" s="5">
        <f>H77*(1+I22)</f>
        <v>5173.1917922484472</v>
      </c>
      <c r="J77" s="5">
        <f>I77*(1+J22)</f>
        <v>6460.5875112436861</v>
      </c>
      <c r="K77" s="5">
        <f>J77*(1+K22)</f>
        <v>8068.3633367276725</v>
      </c>
      <c r="L77" s="26"/>
    </row>
    <row r="78" spans="2:12" x14ac:dyDescent="0.25">
      <c r="B78" s="1" t="s">
        <v>70</v>
      </c>
      <c r="C78" s="1"/>
      <c r="D78" s="8">
        <f>SUM(D73:D77)</f>
        <v>161335</v>
      </c>
      <c r="E78" s="8">
        <f t="shared" ref="E78:K78" si="52">SUM(E73:E77)</f>
        <v>169452</v>
      </c>
      <c r="F78" s="8">
        <f t="shared" si="52"/>
        <v>209177</v>
      </c>
      <c r="G78" s="6">
        <f t="shared" si="52"/>
        <v>313915.02747520129</v>
      </c>
      <c r="H78" s="6">
        <f t="shared" si="52"/>
        <v>444584.2772465233</v>
      </c>
      <c r="I78" s="6">
        <f t="shared" si="52"/>
        <v>574371.49911963334</v>
      </c>
      <c r="J78" s="6">
        <f t="shared" si="52"/>
        <v>701385.90539293597</v>
      </c>
      <c r="K78" s="6">
        <f t="shared" si="52"/>
        <v>823880.51511080004</v>
      </c>
    </row>
    <row r="79" spans="2:12" x14ac:dyDescent="0.25">
      <c r="D79" s="7"/>
      <c r="E79" s="7"/>
      <c r="F79" s="7"/>
      <c r="G79" s="5"/>
      <c r="H79" s="5"/>
      <c r="I79" s="5"/>
      <c r="J79" s="5"/>
      <c r="K79" s="5"/>
    </row>
    <row r="80" spans="2:12" x14ac:dyDescent="0.25">
      <c r="B80" s="1" t="s">
        <v>72</v>
      </c>
      <c r="C80" s="1"/>
      <c r="D80" s="8">
        <f>D71+D78</f>
        <v>426734</v>
      </c>
      <c r="E80" s="8">
        <f t="shared" ref="E80:K80" si="53">E71+E78</f>
        <v>586630</v>
      </c>
      <c r="F80" s="8">
        <f t="shared" si="53"/>
        <v>622930</v>
      </c>
      <c r="G80" s="6">
        <f t="shared" si="53"/>
        <v>728726.55905972118</v>
      </c>
      <c r="H80" s="6">
        <f t="shared" si="53"/>
        <v>861486.19165356969</v>
      </c>
      <c r="I80" s="6">
        <f t="shared" si="53"/>
        <v>994258.02861279319</v>
      </c>
      <c r="J80" s="6">
        <f t="shared" si="53"/>
        <v>1124967.7411746574</v>
      </c>
      <c r="K80" s="6">
        <f t="shared" si="53"/>
        <v>1251826.9462795882</v>
      </c>
    </row>
    <row r="81" spans="1:27" x14ac:dyDescent="0.25">
      <c r="D81" s="7"/>
      <c r="E81" s="7"/>
      <c r="F81" s="7"/>
      <c r="G81" s="5"/>
      <c r="H81" s="5"/>
      <c r="I81" s="5"/>
      <c r="J81" s="5"/>
      <c r="K81" s="5"/>
    </row>
    <row r="82" spans="1:27" x14ac:dyDescent="0.25">
      <c r="B82" t="s">
        <v>76</v>
      </c>
      <c r="D82" s="7">
        <v>381071</v>
      </c>
      <c r="E82" s="7">
        <v>399555</v>
      </c>
      <c r="F82" s="7">
        <v>404847</v>
      </c>
      <c r="G82" s="5">
        <f>G117</f>
        <v>410139</v>
      </c>
      <c r="H82" s="5">
        <f t="shared" ref="H82:K82" si="54">H117</f>
        <v>415431</v>
      </c>
      <c r="I82" s="5">
        <f t="shared" si="54"/>
        <v>420723</v>
      </c>
      <c r="J82" s="5">
        <f t="shared" si="54"/>
        <v>426015</v>
      </c>
      <c r="K82" s="5">
        <f t="shared" si="54"/>
        <v>431307</v>
      </c>
    </row>
    <row r="83" spans="1:27" x14ac:dyDescent="0.25">
      <c r="B83" t="s">
        <v>77</v>
      </c>
      <c r="D83" s="7">
        <v>-2992</v>
      </c>
      <c r="E83" s="7">
        <v>-31154</v>
      </c>
      <c r="F83" s="7">
        <v>-67928</v>
      </c>
      <c r="G83" s="5">
        <f>F83</f>
        <v>-67928</v>
      </c>
      <c r="H83" s="5">
        <f t="shared" ref="H83:K83" si="55">G83</f>
        <v>-67928</v>
      </c>
      <c r="I83" s="5">
        <f t="shared" si="55"/>
        <v>-67928</v>
      </c>
      <c r="J83" s="5">
        <f t="shared" si="55"/>
        <v>-67928</v>
      </c>
      <c r="K83" s="5">
        <f t="shared" si="55"/>
        <v>-67928</v>
      </c>
      <c r="L83" s="26"/>
    </row>
    <row r="84" spans="1:27" x14ac:dyDescent="0.25">
      <c r="B84" t="s">
        <v>78</v>
      </c>
      <c r="D84" s="7">
        <v>252926</v>
      </c>
      <c r="E84" s="7">
        <v>298012</v>
      </c>
      <c r="F84" s="7">
        <v>363213</v>
      </c>
      <c r="G84" s="5">
        <f>G122</f>
        <v>435733.4004203006</v>
      </c>
      <c r="H84" s="5">
        <f t="shared" ref="H84:K84" si="56">H122</f>
        <v>537899.80015907623</v>
      </c>
      <c r="I84" s="5">
        <f t="shared" si="56"/>
        <v>676882.20645875926</v>
      </c>
      <c r="J84" s="5">
        <f t="shared" si="56"/>
        <v>863227.62660163071</v>
      </c>
      <c r="K84" s="5">
        <f t="shared" si="56"/>
        <v>1110194.9041242357</v>
      </c>
      <c r="L84" s="26"/>
    </row>
    <row r="85" spans="1:27" x14ac:dyDescent="0.25">
      <c r="B85" t="s">
        <v>81</v>
      </c>
      <c r="D85" s="7">
        <v>4897</v>
      </c>
      <c r="E85" s="7">
        <v>26558</v>
      </c>
      <c r="F85" s="7">
        <v>28107</v>
      </c>
      <c r="G85" s="5">
        <f>F85</f>
        <v>28107</v>
      </c>
      <c r="H85" s="5">
        <f t="shared" ref="H85:K85" si="57">G85</f>
        <v>28107</v>
      </c>
      <c r="I85" s="5">
        <f t="shared" si="57"/>
        <v>28107</v>
      </c>
      <c r="J85" s="5">
        <f t="shared" si="57"/>
        <v>28107</v>
      </c>
      <c r="K85" s="5">
        <f t="shared" si="57"/>
        <v>28107</v>
      </c>
      <c r="L85" s="26"/>
    </row>
    <row r="86" spans="1:27" x14ac:dyDescent="0.25">
      <c r="B86" s="1" t="s">
        <v>79</v>
      </c>
      <c r="C86" s="1"/>
      <c r="D86" s="8">
        <f>SUM(D82:D85)</f>
        <v>635902</v>
      </c>
      <c r="E86" s="8">
        <f t="shared" ref="E86:G86" si="58">SUM(E82:E85)</f>
        <v>692971</v>
      </c>
      <c r="F86" s="8">
        <f t="shared" si="58"/>
        <v>728239</v>
      </c>
      <c r="G86" s="31">
        <f t="shared" si="58"/>
        <v>806051.40042030066</v>
      </c>
      <c r="H86" s="31">
        <f t="shared" ref="H86" si="59">SUM(H82:H85)</f>
        <v>913509.80015907623</v>
      </c>
      <c r="I86" s="31">
        <f t="shared" ref="I86:J86" si="60">SUM(I82:I85)</f>
        <v>1057784.2064587593</v>
      </c>
      <c r="J86" s="31">
        <f t="shared" si="60"/>
        <v>1249421.6266016308</v>
      </c>
      <c r="K86" s="31">
        <f t="shared" ref="K86" si="61">SUM(K82:K85)</f>
        <v>1501680.9041242357</v>
      </c>
    </row>
    <row r="87" spans="1:27" x14ac:dyDescent="0.25">
      <c r="D87" s="7"/>
      <c r="E87" s="7"/>
      <c r="F87" s="7"/>
      <c r="G87" s="5"/>
      <c r="H87" s="5"/>
      <c r="I87" s="5"/>
      <c r="J87" s="5"/>
      <c r="K87" s="5"/>
    </row>
    <row r="88" spans="1:27" x14ac:dyDescent="0.25">
      <c r="B88" s="1" t="s">
        <v>80</v>
      </c>
      <c r="C88" s="1"/>
      <c r="D88" s="8">
        <f>D80+D86</f>
        <v>1062636</v>
      </c>
      <c r="E88" s="8">
        <f t="shared" ref="E88:K88" si="62">E80+E86</f>
        <v>1279601</v>
      </c>
      <c r="F88" s="8">
        <f t="shared" si="62"/>
        <v>1351169</v>
      </c>
      <c r="G88" s="6">
        <f t="shared" si="62"/>
        <v>1534777.9594800218</v>
      </c>
      <c r="H88" s="6">
        <f t="shared" si="62"/>
        <v>1774995.9918126459</v>
      </c>
      <c r="I88" s="6">
        <f t="shared" si="62"/>
        <v>2052042.2350715525</v>
      </c>
      <c r="J88" s="6">
        <f t="shared" si="62"/>
        <v>2374389.3677762882</v>
      </c>
      <c r="K88" s="6">
        <f t="shared" si="62"/>
        <v>2753507.8504038239</v>
      </c>
    </row>
    <row r="89" spans="1:27" x14ac:dyDescent="0.25">
      <c r="B89" s="3" t="s">
        <v>82</v>
      </c>
      <c r="C89" s="3"/>
      <c r="D89" s="34">
        <f>D66-D88</f>
        <v>0</v>
      </c>
      <c r="E89" s="34">
        <f t="shared" ref="E89:K89" si="63">E66-E88</f>
        <v>0</v>
      </c>
      <c r="F89" s="34">
        <f t="shared" si="63"/>
        <v>0</v>
      </c>
      <c r="G89" s="34">
        <f t="shared" si="63"/>
        <v>0</v>
      </c>
      <c r="H89" s="34">
        <f t="shared" si="63"/>
        <v>0</v>
      </c>
      <c r="I89" s="34">
        <f t="shared" si="63"/>
        <v>0</v>
      </c>
      <c r="J89" s="34">
        <f t="shared" si="63"/>
        <v>0</v>
      </c>
      <c r="K89" s="34">
        <f t="shared" si="63"/>
        <v>0</v>
      </c>
    </row>
    <row r="91" spans="1:27" x14ac:dyDescent="0.25">
      <c r="B91" s="10" t="s">
        <v>132</v>
      </c>
      <c r="D91" s="5">
        <f>D68+D69+D73+D74+D76</f>
        <v>346669</v>
      </c>
      <c r="E91" s="5">
        <f t="shared" ref="E91:K91" si="64">E68+E69+E73+E74+E76</f>
        <v>430765</v>
      </c>
      <c r="F91" s="5">
        <f t="shared" si="64"/>
        <v>426883</v>
      </c>
      <c r="G91" s="5">
        <f t="shared" si="64"/>
        <v>496251.61043529323</v>
      </c>
      <c r="H91" s="5">
        <f t="shared" si="64"/>
        <v>592778.86779581686</v>
      </c>
      <c r="I91" s="5">
        <f t="shared" si="64"/>
        <v>680301.57417266699</v>
      </c>
      <c r="J91" s="5">
        <f t="shared" si="64"/>
        <v>754501.49941654399</v>
      </c>
      <c r="K91" s="5">
        <f t="shared" si="64"/>
        <v>810787.94386012154</v>
      </c>
    </row>
    <row r="92" spans="1:27" x14ac:dyDescent="0.25">
      <c r="B92" s="10"/>
      <c r="D92" s="5"/>
      <c r="E92" s="5"/>
      <c r="F92" s="5"/>
      <c r="G92" s="5"/>
      <c r="H92" s="5"/>
      <c r="I92" s="5"/>
      <c r="J92" s="5"/>
      <c r="K92" s="5"/>
    </row>
    <row r="93" spans="1:27" x14ac:dyDescent="0.25">
      <c r="B93" s="10"/>
      <c r="D93" s="5"/>
      <c r="E93" s="5"/>
      <c r="F93" s="5"/>
      <c r="G93" s="5"/>
      <c r="H93" s="5"/>
      <c r="I93" s="5"/>
      <c r="J93" s="5"/>
      <c r="K93" s="5"/>
    </row>
    <row r="94" spans="1:27" s="14" customFormat="1" x14ac:dyDescent="0.25">
      <c r="A94" s="12" t="s">
        <v>25</v>
      </c>
      <c r="B94" s="15" t="s">
        <v>91</v>
      </c>
      <c r="C94" s="15"/>
      <c r="D94" s="12"/>
      <c r="E94" s="12"/>
      <c r="F94" s="12"/>
      <c r="G94" s="12"/>
      <c r="H94" s="12"/>
      <c r="I94" s="12"/>
      <c r="J94" s="12"/>
      <c r="K94" s="12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spans="1:27" x14ac:dyDescent="0.25">
      <c r="A95" s="24"/>
      <c r="B95" s="25" t="s">
        <v>60</v>
      </c>
      <c r="C95" s="25"/>
      <c r="D95" s="24"/>
      <c r="E95" s="24"/>
      <c r="F95" s="24"/>
      <c r="G95" s="24"/>
      <c r="H95" s="24"/>
      <c r="I95" s="24"/>
      <c r="J95" s="24"/>
      <c r="K95" s="24"/>
    </row>
    <row r="96" spans="1:27" x14ac:dyDescent="0.25">
      <c r="B96" t="s">
        <v>89</v>
      </c>
      <c r="D96" s="22" cm="1">
        <f t="array" ref="D96:F96">D76:F76</f>
        <v>2293</v>
      </c>
      <c r="E96" s="22">
        <v>8010</v>
      </c>
      <c r="F96" s="22">
        <v>8389</v>
      </c>
      <c r="G96" s="5">
        <f>G100*G97</f>
        <v>8324.5620726862162</v>
      </c>
      <c r="H96" s="5">
        <f t="shared" ref="H96:K96" si="65">H100*H97</f>
        <v>9128.3820220374564</v>
      </c>
      <c r="I96" s="5">
        <f t="shared" si="65"/>
        <v>10276.063260851544</v>
      </c>
      <c r="J96" s="5">
        <f t="shared" si="65"/>
        <v>11697.028302134782</v>
      </c>
      <c r="K96" s="5">
        <f t="shared" si="65"/>
        <v>13375.356694984119</v>
      </c>
    </row>
    <row r="97" spans="2:12" x14ac:dyDescent="0.25">
      <c r="B97" s="10" t="s">
        <v>102</v>
      </c>
      <c r="D97" s="32">
        <f>D96/D100</f>
        <v>0.22011465929072968</v>
      </c>
      <c r="E97" s="9">
        <f>E96/E100</f>
        <v>0.32360631728011674</v>
      </c>
      <c r="F97" s="32">
        <f t="shared" ref="F97" si="66">F96/F100</f>
        <v>0.2894825126543783</v>
      </c>
      <c r="G97" s="9">
        <f>AVERAGE(D97:F97)</f>
        <v>0.27773449640840825</v>
      </c>
      <c r="H97" s="32">
        <f>G97</f>
        <v>0.27773449640840825</v>
      </c>
      <c r="I97" s="32">
        <f t="shared" ref="I97:K97" si="67">H97</f>
        <v>0.27773449640840825</v>
      </c>
      <c r="J97" s="32">
        <f t="shared" si="67"/>
        <v>0.27773449640840825</v>
      </c>
      <c r="K97" s="32">
        <f t="shared" si="67"/>
        <v>0.27773449640840825</v>
      </c>
    </row>
    <row r="98" spans="2:12" x14ac:dyDescent="0.25">
      <c r="B98" t="s">
        <v>90</v>
      </c>
      <c r="D98" s="22" cm="1">
        <f t="array" ref="D98:F98">D69:F69</f>
        <v>8124</v>
      </c>
      <c r="E98" s="22">
        <v>16742</v>
      </c>
      <c r="F98" s="22">
        <v>20590</v>
      </c>
      <c r="G98" s="5">
        <f>G100*G99</f>
        <v>21648.531584519969</v>
      </c>
      <c r="H98" s="5">
        <f t="shared" ref="H98:K98" si="68">H100*H99</f>
        <v>23738.914407046312</v>
      </c>
      <c r="I98" s="5">
        <f t="shared" si="68"/>
        <v>26723.529493159844</v>
      </c>
      <c r="J98" s="5">
        <f t="shared" si="68"/>
        <v>30418.83578172146</v>
      </c>
      <c r="K98" s="5">
        <f t="shared" si="68"/>
        <v>34783.431168788025</v>
      </c>
    </row>
    <row r="99" spans="2:12" x14ac:dyDescent="0.25">
      <c r="B99" s="10" t="s">
        <v>102</v>
      </c>
      <c r="D99" s="32">
        <f>D98/D100</f>
        <v>0.77985673444303882</v>
      </c>
      <c r="E99" s="32">
        <f t="shared" ref="E99:F99" si="69">E98/E100</f>
        <v>0.67638164343367224</v>
      </c>
      <c r="F99" s="32">
        <f t="shared" si="69"/>
        <v>0.71050720414276425</v>
      </c>
      <c r="G99" s="32">
        <f>1-G97</f>
        <v>0.7222655035915917</v>
      </c>
      <c r="H99" s="32">
        <f t="shared" ref="H99:K99" si="70">1-H97</f>
        <v>0.7222655035915917</v>
      </c>
      <c r="I99" s="32">
        <f t="shared" si="70"/>
        <v>0.7222655035915917</v>
      </c>
      <c r="J99" s="32">
        <f t="shared" si="70"/>
        <v>0.7222655035915917</v>
      </c>
      <c r="K99" s="32">
        <f t="shared" si="70"/>
        <v>0.7222655035915917</v>
      </c>
    </row>
    <row r="100" spans="2:12" x14ac:dyDescent="0.25">
      <c r="B100" s="1" t="s">
        <v>92</v>
      </c>
      <c r="C100" s="1"/>
      <c r="D100" s="4">
        <f>D112</f>
        <v>10417.298000000001</v>
      </c>
      <c r="E100" s="4">
        <f t="shared" ref="E100:F100" si="71">E112</f>
        <v>24752.298000000003</v>
      </c>
      <c r="F100" s="4">
        <f t="shared" si="71"/>
        <v>28979.298000000003</v>
      </c>
      <c r="G100" s="6">
        <f>G112</f>
        <v>29973.093657206187</v>
      </c>
      <c r="H100" s="6">
        <f t="shared" ref="H100:K100" si="72">H112</f>
        <v>32867.29642908377</v>
      </c>
      <c r="I100" s="6">
        <f t="shared" si="72"/>
        <v>36999.592754011392</v>
      </c>
      <c r="J100" s="6">
        <f t="shared" si="72"/>
        <v>42115.864083856242</v>
      </c>
      <c r="K100" s="6">
        <f t="shared" si="72"/>
        <v>48158.787863772144</v>
      </c>
    </row>
    <row r="102" spans="2:12" x14ac:dyDescent="0.25">
      <c r="B102" t="s">
        <v>98</v>
      </c>
      <c r="D102" s="7">
        <v>6879.2979999999998</v>
      </c>
      <c r="E102" s="7">
        <f>D112</f>
        <v>10417.298000000001</v>
      </c>
      <c r="F102" s="7">
        <f>E112</f>
        <v>24752.298000000003</v>
      </c>
      <c r="G102" s="7">
        <f>F112</f>
        <v>28979.298000000003</v>
      </c>
      <c r="H102" s="5">
        <f>G112</f>
        <v>29973.093657206187</v>
      </c>
      <c r="I102" s="30">
        <f t="shared" ref="I102:K102" si="73">H112</f>
        <v>32867.29642908377</v>
      </c>
      <c r="J102" s="5">
        <f t="shared" si="73"/>
        <v>36999.592754011392</v>
      </c>
      <c r="K102" s="30">
        <f t="shared" si="73"/>
        <v>42115.864083856242</v>
      </c>
    </row>
    <row r="103" spans="2:12" x14ac:dyDescent="0.25">
      <c r="B103" t="s">
        <v>94</v>
      </c>
      <c r="D103" s="7">
        <v>351.24799999999999</v>
      </c>
      <c r="E103" s="7">
        <v>1198</v>
      </c>
      <c r="F103" s="7">
        <v>1545</v>
      </c>
      <c r="G103" s="5">
        <f>F100*G104</f>
        <v>1808.8427753253454</v>
      </c>
      <c r="H103" s="5">
        <f t="shared" ref="H103:K103" si="74">G100*H104</f>
        <v>1870.8739568497258</v>
      </c>
      <c r="I103" s="5">
        <f t="shared" si="74"/>
        <v>2051.5255990750602</v>
      </c>
      <c r="J103" s="5">
        <f t="shared" si="74"/>
        <v>2309.4571180804141</v>
      </c>
      <c r="K103" s="5">
        <f t="shared" si="74"/>
        <v>2628.8068287460778</v>
      </c>
      <c r="L103" s="26"/>
    </row>
    <row r="104" spans="2:12" x14ac:dyDescent="0.25">
      <c r="B104" s="37" t="s">
        <v>146</v>
      </c>
      <c r="C104" s="38"/>
      <c r="D104" s="39"/>
      <c r="E104" s="40">
        <f>E103/D100</f>
        <v>0.11500103001757268</v>
      </c>
      <c r="F104" s="40">
        <f>F103/E100</f>
        <v>6.2418446966015027E-2</v>
      </c>
      <c r="G104" s="40">
        <f>F104</f>
        <v>6.2418446966015027E-2</v>
      </c>
      <c r="H104" s="40">
        <f t="shared" ref="H104:K104" si="75">G104</f>
        <v>6.2418446966015027E-2</v>
      </c>
      <c r="I104" s="40">
        <f t="shared" si="75"/>
        <v>6.2418446966015027E-2</v>
      </c>
      <c r="J104" s="40">
        <f t="shared" si="75"/>
        <v>6.2418446966015027E-2</v>
      </c>
      <c r="K104" s="40">
        <f t="shared" si="75"/>
        <v>6.2418446966015027E-2</v>
      </c>
      <c r="L104" s="26"/>
    </row>
    <row r="105" spans="2:12" x14ac:dyDescent="0.25">
      <c r="B105" t="s">
        <v>88</v>
      </c>
      <c r="D105" s="7">
        <v>-1335.1379999999999</v>
      </c>
      <c r="E105" s="7">
        <v>-8098</v>
      </c>
      <c r="F105" s="7">
        <v>-10425</v>
      </c>
      <c r="G105" s="5">
        <f>-F100*G106</f>
        <v>-17366.335549468033</v>
      </c>
      <c r="H105" s="5">
        <f t="shared" ref="H105:K105" si="76">-G100*H106</f>
        <v>-17961.884442703707</v>
      </c>
      <c r="I105" s="5">
        <f t="shared" si="76"/>
        <v>-19696.284512871953</v>
      </c>
      <c r="J105" s="5">
        <f t="shared" si="76"/>
        <v>-22172.633131410839</v>
      </c>
      <c r="K105" s="5">
        <f t="shared" si="76"/>
        <v>-25238.645450833093</v>
      </c>
      <c r="L105" s="26"/>
    </row>
    <row r="106" spans="2:12" x14ac:dyDescent="0.25">
      <c r="B106" s="37" t="s">
        <v>146</v>
      </c>
      <c r="C106" s="37"/>
      <c r="D106" s="40"/>
      <c r="E106" s="40">
        <f>-E105/D100</f>
        <v>0.7773608857114388</v>
      </c>
      <c r="F106" s="40">
        <f>-F105/E100</f>
        <v>0.42117301593573248</v>
      </c>
      <c r="G106" s="40">
        <f>AVERAGE(E106:F106)</f>
        <v>0.59926695082358561</v>
      </c>
      <c r="H106" s="40">
        <f>G106</f>
        <v>0.59926695082358561</v>
      </c>
      <c r="I106" s="40">
        <f>H106</f>
        <v>0.59926695082358561</v>
      </c>
      <c r="J106" s="40">
        <f t="shared" ref="J106:K106" si="77">I106</f>
        <v>0.59926695082358561</v>
      </c>
      <c r="K106" s="40">
        <f t="shared" si="77"/>
        <v>0.59926695082358561</v>
      </c>
      <c r="L106" s="26"/>
    </row>
    <row r="107" spans="2:12" x14ac:dyDescent="0.25">
      <c r="B107" t="s">
        <v>95</v>
      </c>
      <c r="D107" s="7">
        <v>4924.5640000000003</v>
      </c>
      <c r="E107" s="7">
        <v>10640</v>
      </c>
      <c r="F107" s="7">
        <v>15034</v>
      </c>
      <c r="G107" s="5">
        <f>G39*G108</f>
        <v>16551.288431348872</v>
      </c>
      <c r="H107" s="5">
        <f t="shared" ref="H107:K107" si="78">H39*H108</f>
        <v>18985.213257731564</v>
      </c>
      <c r="I107" s="5">
        <f t="shared" si="78"/>
        <v>21777.055238724512</v>
      </c>
      <c r="J107" s="5">
        <f t="shared" si="78"/>
        <v>24979.447343175274</v>
      </c>
      <c r="K107" s="5">
        <f t="shared" si="78"/>
        <v>28652.762402002918</v>
      </c>
      <c r="L107" s="26"/>
    </row>
    <row r="108" spans="2:12" x14ac:dyDescent="0.25">
      <c r="B108" s="37" t="s">
        <v>147</v>
      </c>
      <c r="C108" s="37"/>
      <c r="D108" s="41">
        <f>D107/D39</f>
        <v>0.71494831591173058</v>
      </c>
      <c r="E108" s="41">
        <f>E107/E39</f>
        <v>0.89022757697456489</v>
      </c>
      <c r="F108" s="41">
        <f>F107/F39</f>
        <v>1</v>
      </c>
      <c r="G108" s="41">
        <f>F108</f>
        <v>1</v>
      </c>
      <c r="H108" s="41">
        <f t="shared" ref="H108:K108" si="79">G108</f>
        <v>1</v>
      </c>
      <c r="I108" s="41">
        <f t="shared" si="79"/>
        <v>1</v>
      </c>
      <c r="J108" s="41">
        <f t="shared" si="79"/>
        <v>1</v>
      </c>
      <c r="K108" s="41">
        <f t="shared" si="79"/>
        <v>1</v>
      </c>
      <c r="L108" s="26"/>
    </row>
    <row r="109" spans="2:12" x14ac:dyDescent="0.25">
      <c r="B109" t="s">
        <v>100</v>
      </c>
      <c r="D109" s="7">
        <v>0</v>
      </c>
      <c r="E109" s="7">
        <v>11437</v>
      </c>
      <c r="F109" s="7">
        <v>-279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26"/>
    </row>
    <row r="110" spans="2:12" x14ac:dyDescent="0.25">
      <c r="B110" t="s">
        <v>96</v>
      </c>
      <c r="D110" s="7">
        <v>-368.25599999999997</v>
      </c>
      <c r="E110" s="7">
        <v>-901</v>
      </c>
      <c r="F110" s="7">
        <v>-1466</v>
      </c>
      <c r="G110" s="5">
        <v>0</v>
      </c>
      <c r="H110" s="5">
        <f>G110*(1+H21)</f>
        <v>0</v>
      </c>
      <c r="I110" s="5">
        <f>H110*(1+I21)</f>
        <v>0</v>
      </c>
      <c r="J110" s="5">
        <f>I110*(1+J21)</f>
        <v>0</v>
      </c>
      <c r="K110" s="5">
        <f>J110*(1+K21)</f>
        <v>0</v>
      </c>
      <c r="L110" s="26"/>
    </row>
    <row r="111" spans="2:12" x14ac:dyDescent="0.25">
      <c r="B111" t="s">
        <v>97</v>
      </c>
      <c r="D111" s="7">
        <v>-34.417999999999999</v>
      </c>
      <c r="E111" s="7">
        <v>59</v>
      </c>
      <c r="F111" s="7">
        <v>-182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26"/>
    </row>
    <row r="112" spans="2:12" x14ac:dyDescent="0.25">
      <c r="B112" s="1" t="s">
        <v>99</v>
      </c>
      <c r="C112" s="1"/>
      <c r="D112" s="8">
        <f>D102+D103+D105+D107+D110+D111+D109</f>
        <v>10417.298000000001</v>
      </c>
      <c r="E112" s="8">
        <f t="shared" ref="E112:K112" si="80">E102+E103+E105+E107+E110+E111+E109</f>
        <v>24752.298000000003</v>
      </c>
      <c r="F112" s="8">
        <f t="shared" si="80"/>
        <v>28979.298000000003</v>
      </c>
      <c r="G112" s="6">
        <f t="shared" si="80"/>
        <v>29973.093657206187</v>
      </c>
      <c r="H112" s="6">
        <f t="shared" si="80"/>
        <v>32867.29642908377</v>
      </c>
      <c r="I112" s="6">
        <f t="shared" si="80"/>
        <v>36999.592754011392</v>
      </c>
      <c r="J112" s="6">
        <f t="shared" si="80"/>
        <v>42115.864083856242</v>
      </c>
      <c r="K112" s="6">
        <f t="shared" si="80"/>
        <v>48158.787863772144</v>
      </c>
    </row>
    <row r="114" spans="1:27" x14ac:dyDescent="0.25">
      <c r="A114" s="24"/>
      <c r="B114" s="25" t="s">
        <v>71</v>
      </c>
      <c r="C114" s="25"/>
      <c r="D114" s="24"/>
      <c r="E114" s="24"/>
      <c r="F114" s="24"/>
      <c r="G114" s="24"/>
      <c r="H114" s="24"/>
      <c r="I114" s="24"/>
      <c r="J114" s="24"/>
      <c r="K114" s="24"/>
    </row>
    <row r="115" spans="1:27" x14ac:dyDescent="0.25">
      <c r="B115" t="s">
        <v>103</v>
      </c>
      <c r="D115" s="5"/>
      <c r="F115" s="5"/>
      <c r="G115" s="5">
        <f>F82</f>
        <v>404847</v>
      </c>
      <c r="H115" s="5">
        <f>G117</f>
        <v>410139</v>
      </c>
      <c r="I115" s="5">
        <f>H117</f>
        <v>415431</v>
      </c>
      <c r="J115" s="5">
        <f>I117</f>
        <v>420723</v>
      </c>
      <c r="K115" s="5">
        <f>J117</f>
        <v>426015</v>
      </c>
      <c r="AA115"/>
    </row>
    <row r="116" spans="1:27" x14ac:dyDescent="0.25">
      <c r="B116" t="s">
        <v>104</v>
      </c>
      <c r="D116" s="5"/>
      <c r="F116" s="5"/>
      <c r="G116" s="5">
        <v>5292</v>
      </c>
      <c r="H116" s="5">
        <f t="shared" ref="H116:K116" si="81">G116</f>
        <v>5292</v>
      </c>
      <c r="I116" s="5">
        <f t="shared" si="81"/>
        <v>5292</v>
      </c>
      <c r="J116" s="5">
        <f t="shared" si="81"/>
        <v>5292</v>
      </c>
      <c r="K116" s="5">
        <f t="shared" si="81"/>
        <v>5292</v>
      </c>
      <c r="L116" s="26"/>
      <c r="AA116"/>
    </row>
    <row r="117" spans="1:27" x14ac:dyDescent="0.25">
      <c r="B117" s="1" t="s">
        <v>105</v>
      </c>
      <c r="C117" s="1"/>
      <c r="D117" s="6"/>
      <c r="F117" s="6"/>
      <c r="G117" s="6">
        <f>G115+G116</f>
        <v>410139</v>
      </c>
      <c r="H117" s="6">
        <f>H115+H116</f>
        <v>415431</v>
      </c>
      <c r="I117" s="6">
        <f>I115+I116</f>
        <v>420723</v>
      </c>
      <c r="J117" s="6">
        <f>J115+J116</f>
        <v>426015</v>
      </c>
      <c r="K117" s="6">
        <f>K115+K116</f>
        <v>431307</v>
      </c>
      <c r="AA117"/>
    </row>
    <row r="118" spans="1:27" x14ac:dyDescent="0.25">
      <c r="D118" s="5"/>
      <c r="E118" s="5"/>
      <c r="F118" s="5"/>
    </row>
    <row r="119" spans="1:27" x14ac:dyDescent="0.25">
      <c r="B119" t="s">
        <v>106</v>
      </c>
      <c r="D119" s="5"/>
      <c r="E119" s="5"/>
      <c r="F119" s="5"/>
      <c r="G119" s="5">
        <f>F84</f>
        <v>363213</v>
      </c>
      <c r="H119" s="5">
        <f>G122</f>
        <v>435733.4004203006</v>
      </c>
      <c r="I119" s="5">
        <f>H122</f>
        <v>537899.80015907623</v>
      </c>
      <c r="J119" s="5">
        <f>I122</f>
        <v>676882.20645875926</v>
      </c>
      <c r="K119" s="5">
        <f>J122</f>
        <v>863227.62660163071</v>
      </c>
    </row>
    <row r="120" spans="1:27" x14ac:dyDescent="0.25">
      <c r="B120" t="s">
        <v>107</v>
      </c>
      <c r="D120" s="5"/>
      <c r="E120" s="5"/>
      <c r="F120" s="5"/>
      <c r="G120" s="5">
        <f>G17</f>
        <v>113748.40042030062</v>
      </c>
      <c r="H120" s="5">
        <f>H17</f>
        <v>143394.39973877565</v>
      </c>
      <c r="I120" s="5">
        <f>I17</f>
        <v>180210.40629968297</v>
      </c>
      <c r="J120" s="5">
        <f>J17</f>
        <v>227573.42014287142</v>
      </c>
      <c r="K120" s="5">
        <f>K17</f>
        <v>288195.27752260497</v>
      </c>
    </row>
    <row r="121" spans="1:27" x14ac:dyDescent="0.25">
      <c r="B121" t="s">
        <v>108</v>
      </c>
      <c r="D121" s="5"/>
      <c r="E121" s="2"/>
      <c r="F121" s="2"/>
      <c r="G121" s="5">
        <v>-41228</v>
      </c>
      <c r="H121" s="5">
        <f>G121</f>
        <v>-41228</v>
      </c>
      <c r="I121" s="5">
        <f t="shared" ref="I121:K121" si="82">H121</f>
        <v>-41228</v>
      </c>
      <c r="J121" s="5">
        <f t="shared" si="82"/>
        <v>-41228</v>
      </c>
      <c r="K121" s="5">
        <f t="shared" si="82"/>
        <v>-41228</v>
      </c>
      <c r="L121" s="26"/>
    </row>
    <row r="122" spans="1:27" x14ac:dyDescent="0.25">
      <c r="B122" s="1" t="s">
        <v>109</v>
      </c>
      <c r="G122" s="6">
        <f>SUM(G119:G121)</f>
        <v>435733.4004203006</v>
      </c>
      <c r="H122" s="6">
        <f>SUM(H119:H121)</f>
        <v>537899.80015907623</v>
      </c>
      <c r="I122" s="6">
        <f t="shared" ref="I122:K122" si="83">SUM(I119:I121)</f>
        <v>676882.20645875926</v>
      </c>
      <c r="J122" s="6">
        <f t="shared" si="83"/>
        <v>863227.62660163071</v>
      </c>
      <c r="K122" s="6">
        <f t="shared" si="83"/>
        <v>1110194.9041242357</v>
      </c>
    </row>
    <row r="125" spans="1:27" s="14" customFormat="1" x14ac:dyDescent="0.25">
      <c r="A125" s="12" t="s">
        <v>25</v>
      </c>
      <c r="B125" s="15" t="s">
        <v>110</v>
      </c>
      <c r="C125" s="15"/>
      <c r="D125" s="12"/>
      <c r="E125" s="12"/>
      <c r="F125" s="12"/>
      <c r="G125" s="12"/>
      <c r="H125" s="12"/>
      <c r="I125" s="12"/>
      <c r="J125" s="12"/>
      <c r="K125" s="12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spans="1:27" x14ac:dyDescent="0.25">
      <c r="B126" t="s">
        <v>111</v>
      </c>
      <c r="G126" s="5">
        <f>G17</f>
        <v>113748.40042030062</v>
      </c>
      <c r="H126" s="5">
        <f>H17</f>
        <v>143394.39973877565</v>
      </c>
      <c r="I126" s="5">
        <f>I17</f>
        <v>180210.40629968297</v>
      </c>
      <c r="J126" s="5">
        <f>J17</f>
        <v>227573.42014287142</v>
      </c>
      <c r="K126" s="5">
        <f>K17</f>
        <v>288195.27752260497</v>
      </c>
    </row>
    <row r="127" spans="1:27" x14ac:dyDescent="0.25">
      <c r="B127" t="s">
        <v>112</v>
      </c>
      <c r="D127" s="5"/>
      <c r="E127" s="5"/>
      <c r="F127" s="5"/>
      <c r="G127" s="5">
        <f>-(G30+G35+G38)</f>
        <v>61336.142615275174</v>
      </c>
      <c r="H127" s="5">
        <f t="shared" ref="H127:K127" si="84">-(H30+H35+H38)</f>
        <v>68151.332808290463</v>
      </c>
      <c r="I127" s="5">
        <f t="shared" si="84"/>
        <v>74675.147520263927</v>
      </c>
      <c r="J127" s="5">
        <f t="shared" si="84"/>
        <v>80707.750504297845</v>
      </c>
      <c r="K127" s="5">
        <f t="shared" si="84"/>
        <v>86074.933779712155</v>
      </c>
    </row>
    <row r="128" spans="1:27" x14ac:dyDescent="0.25">
      <c r="B128" t="s">
        <v>42</v>
      </c>
      <c r="E128" s="5"/>
      <c r="F128" s="5"/>
      <c r="G128" s="5">
        <f t="shared" ref="G128:K129" si="85">F59-G59</f>
        <v>-58507.090927744983</v>
      </c>
      <c r="H128" s="5">
        <f t="shared" si="85"/>
        <v>-58192.979631105729</v>
      </c>
      <c r="I128" s="5">
        <f t="shared" si="85"/>
        <v>-72674.830654862453</v>
      </c>
      <c r="J128" s="5">
        <f t="shared" si="85"/>
        <v>-90760.621714062407</v>
      </c>
      <c r="K128" s="5">
        <f t="shared" si="85"/>
        <v>-113347.22598864423</v>
      </c>
    </row>
    <row r="129" spans="2:12" x14ac:dyDescent="0.25">
      <c r="B129" t="s">
        <v>43</v>
      </c>
      <c r="E129" s="5"/>
      <c r="F129" s="5"/>
      <c r="G129" s="5">
        <f t="shared" si="85"/>
        <v>-51430.46052628805</v>
      </c>
      <c r="H129" s="5">
        <f t="shared" si="85"/>
        <v>-64229.397307775362</v>
      </c>
      <c r="I129" s="5">
        <f t="shared" si="85"/>
        <v>-80213.46564476908</v>
      </c>
      <c r="J129" s="5">
        <f t="shared" si="85"/>
        <v>-100175.31442671118</v>
      </c>
      <c r="K129" s="5">
        <f t="shared" si="85"/>
        <v>-125104.8504116697</v>
      </c>
    </row>
    <row r="130" spans="2:12" x14ac:dyDescent="0.25">
      <c r="B130" t="s">
        <v>45</v>
      </c>
      <c r="E130" s="5"/>
      <c r="F130" s="5"/>
      <c r="G130" s="5">
        <f>F62-G62</f>
        <v>-17312.87691845902</v>
      </c>
      <c r="H130" s="5">
        <f>G62-H62</f>
        <v>-21621.343436501702</v>
      </c>
      <c r="I130" s="5">
        <f>H62-I62</f>
        <v>-27002.010942544424</v>
      </c>
      <c r="J130" s="5">
        <f>I62-J62</f>
        <v>-33721.706381592783</v>
      </c>
      <c r="K130" s="5">
        <f>J62-K62</f>
        <v>-42113.659005102236</v>
      </c>
    </row>
    <row r="131" spans="2:12" x14ac:dyDescent="0.25">
      <c r="B131" t="s">
        <v>67</v>
      </c>
      <c r="E131" s="5"/>
      <c r="F131" s="5"/>
      <c r="G131" s="5">
        <f>G75-F75</f>
        <v>35598.053709995351</v>
      </c>
      <c r="H131" s="5">
        <f>H75-G75</f>
        <v>35406.93583639455</v>
      </c>
      <c r="I131" s="5">
        <f>I75-H75</f>
        <v>44218.273101487866</v>
      </c>
      <c r="J131" s="5">
        <f>J75-I75</f>
        <v>55222.391598992021</v>
      </c>
      <c r="K131" s="5">
        <f>K75-J75</f>
        <v>68964.984835868992</v>
      </c>
    </row>
    <row r="132" spans="2:12" x14ac:dyDescent="0.25">
      <c r="B132" t="s">
        <v>69</v>
      </c>
      <c r="E132" s="5"/>
      <c r="F132" s="5"/>
      <c r="G132" s="5">
        <f>G77-F77</f>
        <v>829.89491443262932</v>
      </c>
      <c r="H132" s="5">
        <f>H77-G77</f>
        <v>825.43939693016682</v>
      </c>
      <c r="I132" s="5">
        <f>I77-H77</f>
        <v>1030.8574808856511</v>
      </c>
      <c r="J132" s="5">
        <f>J77-I77</f>
        <v>1287.3957189952389</v>
      </c>
      <c r="K132" s="5">
        <f>K77-J77</f>
        <v>1607.7758254839864</v>
      </c>
    </row>
    <row r="133" spans="2:12" x14ac:dyDescent="0.25">
      <c r="B133" s="1" t="s">
        <v>113</v>
      </c>
      <c r="G133" s="6">
        <f>SUM(G126:G132)</f>
        <v>84262.06328751173</v>
      </c>
      <c r="H133" s="6">
        <f t="shared" ref="H133:K133" si="86">SUM(H126:H132)</f>
        <v>103734.38740500803</v>
      </c>
      <c r="I133" s="6">
        <f t="shared" si="86"/>
        <v>120244.37716014445</v>
      </c>
      <c r="J133" s="6">
        <f t="shared" si="86"/>
        <v>140133.31544279013</v>
      </c>
      <c r="K133" s="6">
        <f t="shared" si="86"/>
        <v>164277.23655825391</v>
      </c>
    </row>
    <row r="135" spans="2:12" x14ac:dyDescent="0.25">
      <c r="B135" t="s">
        <v>120</v>
      </c>
    </row>
    <row r="136" spans="2:12" x14ac:dyDescent="0.25">
      <c r="B136" s="33" t="s">
        <v>114</v>
      </c>
      <c r="G136" s="5">
        <f>(G36)*-1</f>
        <v>-623</v>
      </c>
      <c r="H136" s="5">
        <f>(H36)*-1</f>
        <v>-623</v>
      </c>
      <c r="I136" s="5">
        <f>(I36)*-1</f>
        <v>-623</v>
      </c>
      <c r="J136" s="5">
        <f>(J36)*-1</f>
        <v>-623</v>
      </c>
      <c r="K136" s="5">
        <f>(K36)*-1</f>
        <v>-623</v>
      </c>
      <c r="L136" s="5"/>
    </row>
    <row r="137" spans="2:12" x14ac:dyDescent="0.25">
      <c r="B137" s="33" t="s">
        <v>115</v>
      </c>
      <c r="G137" s="5">
        <f>(G39)*-1</f>
        <v>-16551.288431348872</v>
      </c>
      <c r="H137" s="5">
        <f>(H39)*-1</f>
        <v>-18985.213257731564</v>
      </c>
      <c r="I137" s="5">
        <f>(I39)*-1</f>
        <v>-21777.055238724512</v>
      </c>
      <c r="J137" s="5">
        <f>(J39)*-1</f>
        <v>-24979.447343175274</v>
      </c>
      <c r="K137" s="5">
        <f>(K39)*-1</f>
        <v>-28652.762402002918</v>
      </c>
    </row>
    <row r="138" spans="2:12" x14ac:dyDescent="0.25">
      <c r="B138" s="33" t="s">
        <v>117</v>
      </c>
      <c r="G138" s="5">
        <f>(G44)*-1</f>
        <v>-27448.510219565709</v>
      </c>
      <c r="H138" s="5">
        <f>(H44)*-1</f>
        <v>-31447.534932855338</v>
      </c>
      <c r="I138" s="5">
        <f>(I44)*-1</f>
        <v>-36029.185024702012</v>
      </c>
      <c r="J138" s="5">
        <f>(J44)*-1</f>
        <v>-41278.344274545918</v>
      </c>
      <c r="K138" s="5">
        <f>(K44)*-1</f>
        <v>-47292.263338172183</v>
      </c>
    </row>
    <row r="139" spans="2:12" x14ac:dyDescent="0.25">
      <c r="B139" s="33" t="s">
        <v>116</v>
      </c>
      <c r="G139" s="5">
        <f>(G31)*-1</f>
        <v>-103101.54095161364</v>
      </c>
      <c r="H139" s="5">
        <f>(H31)*-1</f>
        <v>-102780.32747947639</v>
      </c>
      <c r="I139" s="5">
        <f>(I31)*-1</f>
        <v>-99501.974489917484</v>
      </c>
      <c r="J139" s="5">
        <f>(J31)*-1</f>
        <v>-93241.061257725421</v>
      </c>
      <c r="K139" s="5">
        <f>(K31)*-1</f>
        <v>-84186.347244526609</v>
      </c>
    </row>
    <row r="140" spans="2:12" x14ac:dyDescent="0.25">
      <c r="B140" s="33" t="s">
        <v>36</v>
      </c>
      <c r="G140" s="5">
        <f>F56-G56</f>
        <v>-2398.752614196359</v>
      </c>
      <c r="H140" s="5">
        <f>G56-H56</f>
        <v>-2995.7039684980355</v>
      </c>
      <c r="I140" s="5">
        <f>H56-I56</f>
        <v>-3741.2120840487223</v>
      </c>
      <c r="J140" s="5">
        <f>I56-J56</f>
        <v>-4672.246658887907</v>
      </c>
      <c r="K140" s="5">
        <f>J56-K56</f>
        <v>-5834.9776358748932</v>
      </c>
    </row>
    <row r="141" spans="2:12" x14ac:dyDescent="0.25">
      <c r="B141" t="s">
        <v>52</v>
      </c>
      <c r="G141" s="5">
        <f>F63-G63</f>
        <v>28144</v>
      </c>
      <c r="H141" s="5">
        <f>G63-H63</f>
        <v>0</v>
      </c>
      <c r="I141" s="5">
        <f>H63-I63</f>
        <v>0</v>
      </c>
      <c r="J141" s="5">
        <f>I63-J63</f>
        <v>0</v>
      </c>
      <c r="K141" s="5">
        <f>J63-K63</f>
        <v>0</v>
      </c>
    </row>
    <row r="142" spans="2:12" x14ac:dyDescent="0.25">
      <c r="B142" t="s">
        <v>210</v>
      </c>
      <c r="G142" s="5">
        <f>-G43</f>
        <v>6767.2582477830465</v>
      </c>
      <c r="H142" s="5">
        <f t="shared" ref="H142:K142" si="87">-H43</f>
        <v>7753.1927395867933</v>
      </c>
      <c r="I142" s="5">
        <f t="shared" si="87"/>
        <v>8882.769868709247</v>
      </c>
      <c r="J142" s="5">
        <f t="shared" si="87"/>
        <v>10176.917199230373</v>
      </c>
      <c r="K142" s="5">
        <f t="shared" si="87"/>
        <v>11659.611271122645</v>
      </c>
    </row>
    <row r="143" spans="2:12" x14ac:dyDescent="0.25">
      <c r="B143" s="1" t="s">
        <v>122</v>
      </c>
      <c r="G143" s="6">
        <f>SUM(G136:G142)</f>
        <v>-115211.83396894154</v>
      </c>
      <c r="H143" s="6">
        <f t="shared" ref="H143:K143" si="88">SUM(H136:H142)</f>
        <v>-149078.58689897455</v>
      </c>
      <c r="I143" s="6">
        <f t="shared" si="88"/>
        <v>-152789.6569686835</v>
      </c>
      <c r="J143" s="6">
        <f t="shared" si="88"/>
        <v>-154617.18233510415</v>
      </c>
      <c r="K143" s="6">
        <f t="shared" si="88"/>
        <v>-154929.73934945394</v>
      </c>
    </row>
    <row r="145" spans="2:11" x14ac:dyDescent="0.25">
      <c r="B145" t="s">
        <v>54</v>
      </c>
      <c r="G145" s="5">
        <f t="shared" ref="G145:K147" si="89">G68-F68</f>
        <v>0</v>
      </c>
      <c r="H145" s="5">
        <f t="shared" si="89"/>
        <v>0</v>
      </c>
      <c r="I145" s="5">
        <f t="shared" si="89"/>
        <v>0</v>
      </c>
      <c r="J145" s="5">
        <f t="shared" si="89"/>
        <v>0</v>
      </c>
      <c r="K145" s="5">
        <f t="shared" si="89"/>
        <v>0</v>
      </c>
    </row>
    <row r="146" spans="2:11" x14ac:dyDescent="0.25">
      <c r="B146" t="s">
        <v>90</v>
      </c>
      <c r="G146" s="5">
        <f t="shared" si="89"/>
        <v>1058.5315845199693</v>
      </c>
      <c r="H146" s="5">
        <f t="shared" si="89"/>
        <v>2090.3828225263424</v>
      </c>
      <c r="I146" s="5">
        <f t="shared" si="89"/>
        <v>2984.615086113532</v>
      </c>
      <c r="J146" s="5">
        <f t="shared" si="89"/>
        <v>3695.3062885616164</v>
      </c>
      <c r="K146" s="5">
        <f t="shared" si="89"/>
        <v>4364.5953870665653</v>
      </c>
    </row>
    <row r="147" spans="2:11" x14ac:dyDescent="0.25">
      <c r="B147" t="s">
        <v>55</v>
      </c>
      <c r="G147" s="5">
        <f t="shared" si="89"/>
        <v>0</v>
      </c>
      <c r="H147" s="5">
        <f t="shared" si="89"/>
        <v>0</v>
      </c>
      <c r="I147" s="5">
        <f t="shared" si="89"/>
        <v>0</v>
      </c>
      <c r="J147" s="5">
        <f t="shared" si="89"/>
        <v>0</v>
      </c>
      <c r="K147" s="5">
        <f t="shared" si="89"/>
        <v>0</v>
      </c>
    </row>
    <row r="148" spans="2:11" x14ac:dyDescent="0.25">
      <c r="B148" t="s">
        <v>66</v>
      </c>
      <c r="G148" s="5">
        <f t="shared" ref="G148:K149" si="90">G73-F73</f>
        <v>22800.966077175937</v>
      </c>
      <c r="H148" s="5">
        <f t="shared" si="90"/>
        <v>28475.193381235309</v>
      </c>
      <c r="I148" s="5">
        <f t="shared" si="90"/>
        <v>35561.503637795628</v>
      </c>
      <c r="J148" s="5">
        <f t="shared" si="90"/>
        <v>44411.306502814376</v>
      </c>
      <c r="K148" s="5">
        <f t="shared" si="90"/>
        <v>55463.463113821927</v>
      </c>
    </row>
    <row r="149" spans="2:11" x14ac:dyDescent="0.25">
      <c r="B149" t="s">
        <v>68</v>
      </c>
      <c r="G149" s="5">
        <f t="shared" si="90"/>
        <v>45573.550700911153</v>
      </c>
      <c r="H149" s="5">
        <f t="shared" si="90"/>
        <v>65157.861207410715</v>
      </c>
      <c r="I149" s="5">
        <f t="shared" si="90"/>
        <v>47828.906414126861</v>
      </c>
      <c r="J149" s="5">
        <f t="shared" si="90"/>
        <v>24672.347411217692</v>
      </c>
      <c r="K149" s="5">
        <f t="shared" si="90"/>
        <v>-5219.9424501601607</v>
      </c>
    </row>
    <row r="150" spans="2:11" x14ac:dyDescent="0.25">
      <c r="B150" t="s">
        <v>89</v>
      </c>
      <c r="G150" s="5">
        <f>G76-F76</f>
        <v>-64.437927313783803</v>
      </c>
      <c r="H150" s="5">
        <f>H76-G76</f>
        <v>803.81994935124021</v>
      </c>
      <c r="I150" s="5">
        <f>I76-H76</f>
        <v>1147.6812388140879</v>
      </c>
      <c r="J150" s="5">
        <f>J76-I76</f>
        <v>1420.965041283238</v>
      </c>
      <c r="K150" s="5">
        <f>K76-J76</f>
        <v>1678.3283928493365</v>
      </c>
    </row>
    <row r="151" spans="2:11" x14ac:dyDescent="0.25">
      <c r="B151" t="s">
        <v>76</v>
      </c>
      <c r="G151" s="5">
        <f>G82-F82</f>
        <v>5292</v>
      </c>
      <c r="H151" s="5">
        <f>H82-G82</f>
        <v>5292</v>
      </c>
      <c r="I151" s="5">
        <f>I82-H82</f>
        <v>5292</v>
      </c>
      <c r="J151" s="5">
        <f>J82-I82</f>
        <v>5292</v>
      </c>
      <c r="K151" s="5">
        <f>K82-J82</f>
        <v>5292</v>
      </c>
    </row>
    <row r="152" spans="2:11" x14ac:dyDescent="0.25">
      <c r="B152" t="s">
        <v>108</v>
      </c>
      <c r="G152" s="5">
        <f>G121</f>
        <v>-41228</v>
      </c>
      <c r="H152" s="5">
        <f t="shared" ref="H152:K152" si="91">H121</f>
        <v>-41228</v>
      </c>
      <c r="I152" s="5">
        <f t="shared" si="91"/>
        <v>-41228</v>
      </c>
      <c r="J152" s="5">
        <f t="shared" si="91"/>
        <v>-41228</v>
      </c>
      <c r="K152" s="5">
        <f t="shared" si="91"/>
        <v>-41228</v>
      </c>
    </row>
    <row r="153" spans="2:11" x14ac:dyDescent="0.25">
      <c r="B153" s="1" t="s">
        <v>121</v>
      </c>
      <c r="G153" s="6">
        <f>SUM(G145:G152)</f>
        <v>33432.610435293274</v>
      </c>
      <c r="H153" s="6">
        <f t="shared" ref="H153:K153" si="92">SUM(H145:H152)</f>
        <v>60591.25736052361</v>
      </c>
      <c r="I153" s="6">
        <f t="shared" si="92"/>
        <v>51586.70637685011</v>
      </c>
      <c r="J153" s="6">
        <f t="shared" si="92"/>
        <v>38263.925243876918</v>
      </c>
      <c r="K153" s="6">
        <f t="shared" si="92"/>
        <v>20350.444443577668</v>
      </c>
    </row>
    <row r="155" spans="2:11" x14ac:dyDescent="0.25">
      <c r="B155" s="1" t="s">
        <v>123</v>
      </c>
      <c r="G155" s="6">
        <f>G133+G143+G153</f>
        <v>2482.8397538634599</v>
      </c>
      <c r="H155" s="6">
        <f t="shared" ref="H155:K155" si="93">H133+H143+H153</f>
        <v>15247.057866557094</v>
      </c>
      <c r="I155" s="6">
        <f t="shared" si="93"/>
        <v>19041.426568311057</v>
      </c>
      <c r="J155" s="6">
        <f t="shared" si="93"/>
        <v>23780.058351562897</v>
      </c>
      <c r="K155" s="6">
        <f t="shared" si="93"/>
        <v>29697.941652377631</v>
      </c>
    </row>
    <row r="158" spans="2:11" x14ac:dyDescent="0.25">
      <c r="B158" t="s">
        <v>134</v>
      </c>
      <c r="G158" s="5">
        <f>F61+G133+G143+SUM(G145:G148)+SUM(G150:G152)-(G4*5%)</f>
        <v>-45573.550700911153</v>
      </c>
      <c r="H158" s="5">
        <f>G61+H133+H143+SUM(H145:H148)+SUM(H150:H152)-(H4*5%)</f>
        <v>-65157.861207410722</v>
      </c>
      <c r="I158" s="5">
        <f>H61+I133+I143+SUM(I145:I148)+SUM(I150:I152)-(I4*5%)</f>
        <v>-47828.906414126854</v>
      </c>
      <c r="J158" s="5">
        <f>I61+J133+J143+SUM(J145:J148)+SUM(J150:J152)-(J4*5%)</f>
        <v>-24672.347411217692</v>
      </c>
      <c r="K158" s="5">
        <f>J61+K133+K143+SUM(K145:K148)+SUM(K150:K152)-(K4*5%)</f>
        <v>5219.9424501601607</v>
      </c>
    </row>
    <row r="159" spans="2:11" x14ac:dyDescent="0.25">
      <c r="B159" t="s">
        <v>124</v>
      </c>
      <c r="G159" s="5">
        <f>-MIN(G158,F74)</f>
        <v>45573.550700911153</v>
      </c>
      <c r="H159" s="5">
        <f>-MIN(H158,G74)</f>
        <v>65157.861207410722</v>
      </c>
      <c r="I159" s="5">
        <f>-MIN(I158,H74)</f>
        <v>47828.906414126854</v>
      </c>
      <c r="J159" s="5">
        <f>-MIN(J158,I74)</f>
        <v>24672.347411217692</v>
      </c>
      <c r="K159" s="5">
        <f>-MIN(K158,J74)</f>
        <v>-5219.9424501601607</v>
      </c>
    </row>
    <row r="163" spans="7:7" x14ac:dyDescent="0.25">
      <c r="G163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3A5-43B4-4DE7-88AB-9C52ECC359CD}">
  <dimension ref="A1:AN65"/>
  <sheetViews>
    <sheetView showGridLines="0" zoomScale="85" zoomScaleNormal="85" workbookViewId="0">
      <selection activeCell="N26" sqref="N26:R26"/>
    </sheetView>
  </sheetViews>
  <sheetFormatPr defaultRowHeight="15" x14ac:dyDescent="0.25"/>
  <cols>
    <col min="2" max="2" width="38.28515625" customWidth="1"/>
    <col min="3" max="3" width="10.5703125" customWidth="1"/>
    <col min="4" max="4" width="15.28515625" bestFit="1" customWidth="1"/>
    <col min="5" max="5" width="11.5703125" bestFit="1" customWidth="1"/>
    <col min="10" max="10" width="26" bestFit="1" customWidth="1"/>
    <col min="18" max="18" width="12" bestFit="1" customWidth="1"/>
  </cols>
  <sheetData>
    <row r="1" spans="1:40" x14ac:dyDescent="0.25">
      <c r="A1" t="s">
        <v>10</v>
      </c>
    </row>
    <row r="2" spans="1:40" s="14" customFormat="1" x14ac:dyDescent="0.25">
      <c r="A2" s="18"/>
      <c r="B2" s="19"/>
      <c r="C2" s="19"/>
      <c r="D2" s="20" t="s">
        <v>4</v>
      </c>
      <c r="E2" s="20" t="s">
        <v>5</v>
      </c>
      <c r="F2" s="20" t="s">
        <v>6</v>
      </c>
      <c r="G2" s="20" t="s">
        <v>7</v>
      </c>
      <c r="H2" s="20" t="s">
        <v>8</v>
      </c>
      <c r="I2" s="20" t="s">
        <v>9</v>
      </c>
      <c r="J2" s="20" t="s">
        <v>237</v>
      </c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</row>
    <row r="3" spans="1:40" s="14" customFormat="1" x14ac:dyDescent="0.25">
      <c r="A3" s="12" t="s">
        <v>25</v>
      </c>
      <c r="B3" s="15" t="s">
        <v>140</v>
      </c>
      <c r="C3" s="15"/>
      <c r="D3" s="13"/>
      <c r="E3" s="13"/>
      <c r="F3" s="13"/>
      <c r="G3" s="13"/>
      <c r="H3" s="13"/>
      <c r="I3" s="13"/>
      <c r="J3" s="13"/>
      <c r="L3" s="10" t="s">
        <v>238</v>
      </c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</row>
    <row r="4" spans="1:40" x14ac:dyDescent="0.25">
      <c r="B4" s="1" t="s">
        <v>135</v>
      </c>
      <c r="C4" s="1"/>
      <c r="D4" s="6">
        <f>'3-Statement'!F10</f>
        <v>131843</v>
      </c>
      <c r="E4" s="6">
        <f>'3-Statement'!G10</f>
        <v>139749.08536196669</v>
      </c>
      <c r="F4" s="6">
        <f>'3-Statement'!H10</f>
        <v>174526.91333619313</v>
      </c>
      <c r="G4" s="6">
        <f>'3-Statement'!I10</f>
        <v>217959.51937549305</v>
      </c>
      <c r="H4" s="6">
        <f>'3-Statement'!J10</f>
        <v>272200.72353473643</v>
      </c>
      <c r="I4" s="6">
        <f>'3-Statement'!K10</f>
        <v>339940.34353318944</v>
      </c>
      <c r="J4" s="6">
        <f>I4*(1+D49)</f>
        <v>354217.8379615834</v>
      </c>
      <c r="L4" s="10" t="s">
        <v>239</v>
      </c>
    </row>
    <row r="5" spans="1:40" x14ac:dyDescent="0.25">
      <c r="B5" s="1" t="s">
        <v>112</v>
      </c>
      <c r="C5" s="1"/>
      <c r="D5" s="6">
        <f>-('3-Statement'!F30+'3-Statement'!F35+'3-Statement'!F38)</f>
        <v>58517</v>
      </c>
      <c r="E5" s="6">
        <f>'3-Statement'!G127</f>
        <v>61336.142615275174</v>
      </c>
      <c r="F5" s="6">
        <f>'3-Statement'!H127</f>
        <v>68151.332808290463</v>
      </c>
      <c r="G5" s="6">
        <f>'3-Statement'!I127</f>
        <v>74675.147520263927</v>
      </c>
      <c r="H5" s="6">
        <f>'3-Statement'!J127</f>
        <v>80707.750504297845</v>
      </c>
      <c r="I5" s="6">
        <f>'3-Statement'!K127</f>
        <v>86074.933779712155</v>
      </c>
      <c r="J5" s="6">
        <f>I5*(1+D49)</f>
        <v>89690.080998460064</v>
      </c>
      <c r="L5" s="10" t="s">
        <v>240</v>
      </c>
    </row>
    <row r="6" spans="1:40" x14ac:dyDescent="0.25">
      <c r="B6" s="1" t="s">
        <v>245</v>
      </c>
      <c r="C6" s="1"/>
      <c r="D6" s="6">
        <f>D4+D5</f>
        <v>190360</v>
      </c>
      <c r="E6" s="6">
        <f t="shared" ref="E6:I6" si="0">E4+E5</f>
        <v>201085.22797724186</v>
      </c>
      <c r="F6" s="6">
        <f t="shared" si="0"/>
        <v>242678.24614448359</v>
      </c>
      <c r="G6" s="6">
        <f t="shared" si="0"/>
        <v>292634.66689575696</v>
      </c>
      <c r="H6" s="6">
        <f t="shared" si="0"/>
        <v>352908.47403903428</v>
      </c>
      <c r="I6" s="6">
        <f t="shared" si="0"/>
        <v>426015.27731290157</v>
      </c>
      <c r="J6" s="6">
        <f>J4+J5</f>
        <v>443907.91896004346</v>
      </c>
    </row>
    <row r="7" spans="1:40" x14ac:dyDescent="0.25">
      <c r="L7" s="10" t="s">
        <v>241</v>
      </c>
    </row>
    <row r="8" spans="1:40" x14ac:dyDescent="0.25">
      <c r="B8" s="1" t="s">
        <v>31</v>
      </c>
      <c r="C8" s="9">
        <f>'3-Statement'!G28</f>
        <v>6.5131137313254636E-2</v>
      </c>
      <c r="L8" s="10" t="s">
        <v>242</v>
      </c>
    </row>
    <row r="10" spans="1:40" x14ac:dyDescent="0.25">
      <c r="B10" s="1" t="s">
        <v>141</v>
      </c>
      <c r="D10" s="5"/>
      <c r="E10" s="6">
        <f>'3-Statement'!G48</f>
        <v>147724.33960252823</v>
      </c>
      <c r="F10" s="6">
        <f>'3-Statement'!H48</f>
        <v>153836.07567006329</v>
      </c>
      <c r="G10" s="6">
        <f>'3-Statement'!I48</f>
        <v>157931.21475334401</v>
      </c>
      <c r="H10" s="6">
        <f>'3-Statement'!J48</f>
        <v>160121.85287544661</v>
      </c>
      <c r="I10" s="6">
        <f>'3-Statement'!K48</f>
        <v>160754.37298470171</v>
      </c>
      <c r="J10" s="6">
        <f>J5</f>
        <v>89690.080998460064</v>
      </c>
      <c r="L10" s="10" t="s">
        <v>243</v>
      </c>
    </row>
    <row r="12" spans="1:40" x14ac:dyDescent="0.25">
      <c r="B12" t="s">
        <v>42</v>
      </c>
      <c r="E12" s="5">
        <f>'3-Statement'!G128</f>
        <v>-58507.090927744983</v>
      </c>
      <c r="F12" s="5">
        <f>'3-Statement'!H128</f>
        <v>-58192.979631105729</v>
      </c>
      <c r="G12" s="5">
        <f>'3-Statement'!I128</f>
        <v>-72674.830654862453</v>
      </c>
      <c r="H12" s="5">
        <f>'3-Statement'!J128</f>
        <v>-90760.621714062407</v>
      </c>
      <c r="I12" s="5">
        <f>'3-Statement'!K128</f>
        <v>-113347.22598864423</v>
      </c>
    </row>
    <row r="13" spans="1:40" x14ac:dyDescent="0.25">
      <c r="B13" t="s">
        <v>43</v>
      </c>
      <c r="E13" s="5">
        <f>'3-Statement'!G129</f>
        <v>-51430.46052628805</v>
      </c>
      <c r="F13" s="5">
        <f>'3-Statement'!H129</f>
        <v>-64229.397307775362</v>
      </c>
      <c r="G13" s="5">
        <f>'3-Statement'!I129</f>
        <v>-80213.46564476908</v>
      </c>
      <c r="H13" s="5">
        <f>'3-Statement'!J129</f>
        <v>-100175.31442671118</v>
      </c>
      <c r="I13" s="5">
        <f>'3-Statement'!K129</f>
        <v>-125104.8504116697</v>
      </c>
    </row>
    <row r="14" spans="1:40" x14ac:dyDescent="0.25">
      <c r="B14" t="s">
        <v>45</v>
      </c>
      <c r="E14" s="5">
        <f>'3-Statement'!G130</f>
        <v>-17312.87691845902</v>
      </c>
      <c r="F14" s="5">
        <f>'3-Statement'!H130</f>
        <v>-21621.343436501702</v>
      </c>
      <c r="G14" s="5">
        <f>'3-Statement'!I130</f>
        <v>-27002.010942544424</v>
      </c>
      <c r="H14" s="5">
        <f>'3-Statement'!J130</f>
        <v>-33721.706381592783</v>
      </c>
      <c r="I14" s="5">
        <f>'3-Statement'!K130</f>
        <v>-42113.659005102236</v>
      </c>
    </row>
    <row r="15" spans="1:40" x14ac:dyDescent="0.25">
      <c r="B15" t="s">
        <v>67</v>
      </c>
      <c r="E15" s="5">
        <f>'3-Statement'!G131</f>
        <v>35598.053709995351</v>
      </c>
      <c r="F15" s="5">
        <f>'3-Statement'!H131</f>
        <v>35406.93583639455</v>
      </c>
      <c r="G15" s="5">
        <f>'3-Statement'!I131</f>
        <v>44218.273101487866</v>
      </c>
      <c r="H15" s="5">
        <f>'3-Statement'!J131</f>
        <v>55222.391598992021</v>
      </c>
      <c r="I15" s="5">
        <f>'3-Statement'!K131</f>
        <v>68964.984835868992</v>
      </c>
    </row>
    <row r="16" spans="1:40" x14ac:dyDescent="0.25">
      <c r="B16" t="s">
        <v>69</v>
      </c>
      <c r="E16" s="5">
        <f>'3-Statement'!G132</f>
        <v>829.89491443262932</v>
      </c>
      <c r="F16" s="5">
        <f>'3-Statement'!H132</f>
        <v>825.43939693016682</v>
      </c>
      <c r="G16" s="5">
        <f>'3-Statement'!I132</f>
        <v>1030.8574808856511</v>
      </c>
      <c r="H16" s="5">
        <f>'3-Statement'!J132</f>
        <v>1287.3957189952389</v>
      </c>
      <c r="I16" s="5">
        <f>'3-Statement'!K132</f>
        <v>1607.7758254839864</v>
      </c>
    </row>
    <row r="17" spans="1:40" x14ac:dyDescent="0.25">
      <c r="B17" s="1" t="s">
        <v>143</v>
      </c>
      <c r="E17" s="6">
        <f>SUM(E12:E16)</f>
        <v>-90822.47974806407</v>
      </c>
      <c r="F17" s="6">
        <f t="shared" ref="F17:H17" si="1">SUM(F12:F16)</f>
        <v>-107811.3451420581</v>
      </c>
      <c r="G17" s="6">
        <f t="shared" si="1"/>
        <v>-134641.17665980244</v>
      </c>
      <c r="H17" s="6">
        <f t="shared" si="1"/>
        <v>-168147.8552043791</v>
      </c>
      <c r="I17" s="6">
        <f>SUM(I12:I16)</f>
        <v>-209992.97474406319</v>
      </c>
      <c r="J17" s="6">
        <f>I17*(D49/'3-Statement'!G21)</f>
        <v>-35440.559983680745</v>
      </c>
    </row>
    <row r="18" spans="1:40" x14ac:dyDescent="0.25">
      <c r="R18">
        <f>D6/-'3-Statement'!F13</f>
        <v>10.771842462652785</v>
      </c>
    </row>
    <row r="20" spans="1:40" s="14" customFormat="1" x14ac:dyDescent="0.25">
      <c r="A20" s="12" t="s">
        <v>25</v>
      </c>
      <c r="B20" s="15" t="s">
        <v>211</v>
      </c>
      <c r="C20" s="15"/>
      <c r="D20" s="13"/>
      <c r="E20" s="13"/>
      <c r="F20" s="13"/>
      <c r="G20" s="13"/>
      <c r="H20" s="13"/>
      <c r="I20" s="13"/>
      <c r="J20" s="13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</row>
    <row r="21" spans="1:40" x14ac:dyDescent="0.25">
      <c r="A21" s="24"/>
      <c r="B21" s="25" t="s">
        <v>213</v>
      </c>
      <c r="C21" s="25"/>
      <c r="D21" s="24"/>
      <c r="E21" s="24"/>
      <c r="F21" s="24"/>
      <c r="G21" s="24"/>
      <c r="H21" s="24"/>
      <c r="I21" s="24"/>
      <c r="J21" s="24"/>
    </row>
    <row r="22" spans="1:40" x14ac:dyDescent="0.25">
      <c r="B22" t="s">
        <v>21</v>
      </c>
      <c r="D22" s="7">
        <f>'3-Statement'!F13</f>
        <v>-17672</v>
      </c>
      <c r="E22" s="5"/>
      <c r="F22" s="5"/>
      <c r="G22" s="5"/>
      <c r="H22" s="5"/>
      <c r="I22" s="5"/>
    </row>
    <row r="23" spans="1:40" x14ac:dyDescent="0.25">
      <c r="B23" t="s">
        <v>214</v>
      </c>
      <c r="D23" s="7">
        <f>'3-Statement'!F91</f>
        <v>426883</v>
      </c>
      <c r="E23" s="5"/>
      <c r="F23" s="5"/>
      <c r="G23" s="5"/>
      <c r="H23" s="5"/>
      <c r="I23" s="5"/>
    </row>
    <row r="24" spans="1:40" x14ac:dyDescent="0.25">
      <c r="B24" t="s">
        <v>212</v>
      </c>
      <c r="D24" s="9">
        <f>-D22/D23</f>
        <v>4.1397760041978718E-2</v>
      </c>
      <c r="E24" s="5"/>
      <c r="F24" s="5"/>
      <c r="G24" s="5"/>
      <c r="H24" s="5"/>
      <c r="I24" s="5"/>
      <c r="N24" s="5">
        <f>'3-Statement'!D10-('3-Statement'!D30+'3-Statement'!D35+'3-Statement'!D38)</f>
        <v>96867</v>
      </c>
      <c r="O24" s="5">
        <f>'3-Statement'!E10-('3-Statement'!E30+'3-Statement'!E35+'3-Statement'!E38)</f>
        <v>133594</v>
      </c>
      <c r="P24" s="5">
        <f>D6</f>
        <v>190360</v>
      </c>
      <c r="Q24" s="5">
        <f>E6</f>
        <v>201085.22797724186</v>
      </c>
      <c r="R24" s="5">
        <f>F6</f>
        <v>242678.24614448359</v>
      </c>
      <c r="S24" s="5">
        <f>G6</f>
        <v>292634.66689575696</v>
      </c>
      <c r="T24" s="5">
        <f>H6</f>
        <v>352908.47403903428</v>
      </c>
      <c r="U24" s="5">
        <f>I6</f>
        <v>426015.27731290157</v>
      </c>
    </row>
    <row r="25" spans="1:40" x14ac:dyDescent="0.25">
      <c r="D25" s="5"/>
      <c r="E25" s="5"/>
      <c r="F25" s="5"/>
      <c r="G25" s="5"/>
      <c r="H25" s="5"/>
      <c r="I25" s="5"/>
      <c r="N25" s="5">
        <f>'3-Statement'!D91</f>
        <v>346669</v>
      </c>
      <c r="O25" s="5">
        <f>'3-Statement'!E91</f>
        <v>430765</v>
      </c>
      <c r="P25" s="5">
        <f>'3-Statement'!F91</f>
        <v>426883</v>
      </c>
      <c r="Q25" s="5">
        <f>'3-Statement'!G91</f>
        <v>496251.61043529323</v>
      </c>
      <c r="R25" s="5">
        <f>'3-Statement'!H91</f>
        <v>592778.86779581686</v>
      </c>
      <c r="S25" s="5">
        <f>'3-Statement'!I91</f>
        <v>680301.57417266699</v>
      </c>
      <c r="T25" s="5">
        <f>'3-Statement'!J91</f>
        <v>754501.49941654399</v>
      </c>
      <c r="U25" s="5">
        <f>'3-Statement'!K91</f>
        <v>810787.94386012154</v>
      </c>
      <c r="V25" s="5"/>
    </row>
    <row r="26" spans="1:40" x14ac:dyDescent="0.25">
      <c r="A26" s="24"/>
      <c r="B26" s="25" t="s">
        <v>71</v>
      </c>
      <c r="C26" s="25"/>
      <c r="D26" s="24"/>
      <c r="E26" s="24"/>
      <c r="F26" s="24"/>
      <c r="G26" s="24"/>
      <c r="H26" s="24"/>
      <c r="I26" s="24"/>
      <c r="J26" s="24"/>
      <c r="N26" s="53">
        <f>N24/-'3-Statement'!D13</f>
        <v>8.1134935924281759</v>
      </c>
      <c r="O26" s="53">
        <f>O24/-'3-Statement'!E13</f>
        <v>7.9143364928909952</v>
      </c>
      <c r="P26" s="53">
        <f>P24/-'3-Statement'!F13</f>
        <v>10.771842462652785</v>
      </c>
      <c r="Q26" s="53">
        <f>Q24/-'3-Statement'!G13</f>
        <v>10.500939703252449</v>
      </c>
      <c r="R26" s="53">
        <f>R24/-'3-Statement'!H13</f>
        <v>10.901487856791631</v>
      </c>
      <c r="S26" s="53">
        <f>S24/-'3-Statement'!I13</f>
        <v>11.004996719267741</v>
      </c>
      <c r="T26" s="53">
        <f>T24/-'3-Statement'!J13</f>
        <v>11.564249892187172</v>
      </c>
      <c r="U26" s="53">
        <f>U24/-'3-Statement'!K13</f>
        <v>12.586991047873893</v>
      </c>
    </row>
    <row r="27" spans="1:40" x14ac:dyDescent="0.25">
      <c r="B27" t="s">
        <v>216</v>
      </c>
      <c r="D27" s="9">
        <v>3.7470000000000003E-2</v>
      </c>
      <c r="E27" s="5"/>
      <c r="F27" s="46" t="s">
        <v>217</v>
      </c>
      <c r="G27" s="5"/>
      <c r="H27" s="5"/>
      <c r="I27" s="5"/>
    </row>
    <row r="28" spans="1:40" x14ac:dyDescent="0.25">
      <c r="B28" t="s">
        <v>244</v>
      </c>
      <c r="D28" s="47">
        <v>0.74</v>
      </c>
      <c r="E28" s="5"/>
      <c r="F28" s="46" t="s">
        <v>227</v>
      </c>
      <c r="G28" s="5"/>
      <c r="H28" s="5"/>
      <c r="I28" s="5"/>
    </row>
    <row r="29" spans="1:40" x14ac:dyDescent="0.25">
      <c r="B29" t="s">
        <v>228</v>
      </c>
      <c r="D29" s="9">
        <v>5.04E-2</v>
      </c>
      <c r="E29" s="5"/>
      <c r="F29" s="46" t="s">
        <v>229</v>
      </c>
      <c r="G29" s="5"/>
      <c r="H29" s="5"/>
      <c r="I29" s="5"/>
    </row>
    <row r="30" spans="1:40" x14ac:dyDescent="0.25">
      <c r="B30" t="s">
        <v>219</v>
      </c>
      <c r="D30" s="9">
        <f>D27+D28*D29</f>
        <v>7.4765999999999999E-2</v>
      </c>
      <c r="E30" s="5"/>
      <c r="F30" s="5" t="s">
        <v>220</v>
      </c>
      <c r="G30" s="5"/>
      <c r="H30" s="5"/>
      <c r="I30" s="5"/>
    </row>
    <row r="31" spans="1:40" x14ac:dyDescent="0.25">
      <c r="D31" s="5"/>
      <c r="E31" s="5"/>
      <c r="F31" s="5"/>
      <c r="G31" s="5"/>
      <c r="H31" s="5"/>
      <c r="I31" s="5"/>
    </row>
    <row r="32" spans="1:40" x14ac:dyDescent="0.25">
      <c r="A32" s="24"/>
      <c r="B32" s="25" t="s">
        <v>221</v>
      </c>
      <c r="C32" s="25"/>
      <c r="D32" s="24"/>
      <c r="E32" s="24"/>
      <c r="F32" s="24"/>
      <c r="G32" s="24"/>
      <c r="H32" s="24"/>
      <c r="I32" s="24"/>
      <c r="J32" s="24"/>
    </row>
    <row r="33" spans="1:40" x14ac:dyDescent="0.25">
      <c r="B33" t="s">
        <v>223</v>
      </c>
      <c r="D33" s="5">
        <v>4184000</v>
      </c>
      <c r="E33" s="5"/>
      <c r="F33" s="46" t="s">
        <v>218</v>
      </c>
      <c r="G33" s="5"/>
      <c r="H33" s="5"/>
      <c r="I33" s="5"/>
      <c r="J33" t="s">
        <v>222</v>
      </c>
    </row>
    <row r="34" spans="1:40" x14ac:dyDescent="0.25">
      <c r="B34" t="s">
        <v>224</v>
      </c>
      <c r="D34" s="5">
        <f>D33+D23</f>
        <v>4610883</v>
      </c>
      <c r="E34" s="5"/>
      <c r="F34" s="5"/>
      <c r="G34" s="5"/>
      <c r="H34" s="5"/>
      <c r="I34" s="5"/>
    </row>
    <row r="35" spans="1:40" x14ac:dyDescent="0.25">
      <c r="B35" t="s">
        <v>215</v>
      </c>
      <c r="D35" s="9">
        <f>D23/D34</f>
        <v>9.2581616145974641E-2</v>
      </c>
      <c r="E35" s="5"/>
      <c r="F35" s="5"/>
      <c r="G35" s="5"/>
      <c r="H35" s="5"/>
      <c r="I35" s="5"/>
    </row>
    <row r="36" spans="1:40" x14ac:dyDescent="0.25">
      <c r="B36" t="s">
        <v>225</v>
      </c>
      <c r="D36" s="9">
        <f>D33/D34</f>
        <v>0.9074183838540254</v>
      </c>
      <c r="E36" s="5"/>
      <c r="F36" s="5"/>
      <c r="G36" s="5"/>
      <c r="H36" s="5"/>
      <c r="I36" s="5"/>
    </row>
    <row r="37" spans="1:40" x14ac:dyDescent="0.25">
      <c r="D37" s="5"/>
      <c r="E37" s="5"/>
      <c r="F37" s="5"/>
      <c r="G37" s="5"/>
      <c r="H37" s="5"/>
      <c r="I37" s="5"/>
    </row>
    <row r="38" spans="1:40" x14ac:dyDescent="0.25">
      <c r="B38" s="1" t="s">
        <v>211</v>
      </c>
      <c r="C38" s="1"/>
      <c r="D38" s="45">
        <f>(D36*D30)+D35*(D24*(1-C8))</f>
        <v>7.1427088161074612E-2</v>
      </c>
      <c r="E38" s="5"/>
      <c r="F38" s="5"/>
      <c r="G38" s="5"/>
      <c r="H38" s="5"/>
      <c r="I38" s="5"/>
    </row>
    <row r="41" spans="1:40" s="14" customFormat="1" x14ac:dyDescent="0.25">
      <c r="A41" s="12" t="s">
        <v>25</v>
      </c>
      <c r="B41" s="15" t="s">
        <v>136</v>
      </c>
      <c r="C41" s="15"/>
      <c r="D41" s="13"/>
      <c r="E41" s="13"/>
      <c r="F41" s="13"/>
      <c r="G41" s="13"/>
      <c r="H41" s="13"/>
      <c r="I41" s="13"/>
      <c r="J41" s="13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</row>
    <row r="42" spans="1:40" x14ac:dyDescent="0.25">
      <c r="B42" t="s">
        <v>135</v>
      </c>
      <c r="D42" s="5"/>
      <c r="E42" s="5">
        <f t="shared" ref="E42:J42" si="2">E4</f>
        <v>139749.08536196669</v>
      </c>
      <c r="F42" s="5">
        <f t="shared" si="2"/>
        <v>174526.91333619313</v>
      </c>
      <c r="G42" s="5">
        <f t="shared" si="2"/>
        <v>217959.51937549305</v>
      </c>
      <c r="H42" s="5">
        <f t="shared" si="2"/>
        <v>272200.72353473643</v>
      </c>
      <c r="I42" s="5">
        <f t="shared" si="2"/>
        <v>339940.34353318944</v>
      </c>
      <c r="J42" s="5">
        <f t="shared" si="2"/>
        <v>354217.8379615834</v>
      </c>
    </row>
    <row r="43" spans="1:40" x14ac:dyDescent="0.25">
      <c r="A43" t="s">
        <v>137</v>
      </c>
      <c r="B43" t="s">
        <v>138</v>
      </c>
      <c r="D43" s="5"/>
      <c r="E43" s="5">
        <f>(E42*$C$8)*-1</f>
        <v>-9102.0168681119958</v>
      </c>
      <c r="F43" s="5">
        <f>(F42*$C$8)*-1</f>
        <v>-11367.136357358087</v>
      </c>
      <c r="G43" s="5">
        <f>(G42*$C$8)*-1</f>
        <v>-14195.951385176222</v>
      </c>
      <c r="H43" s="5">
        <f>(H42*$C$8)*-1</f>
        <v>-17728.742701308183</v>
      </c>
      <c r="I43" s="5">
        <f>(I42*$C$8)*-1</f>
        <v>-22140.701192975113</v>
      </c>
      <c r="J43" s="5">
        <f>-J42*C8</f>
        <v>-23070.610643080068</v>
      </c>
    </row>
    <row r="44" spans="1:40" x14ac:dyDescent="0.25">
      <c r="A44" t="s">
        <v>139</v>
      </c>
      <c r="B44" t="s">
        <v>112</v>
      </c>
      <c r="D44" s="5"/>
      <c r="E44" s="5">
        <f t="shared" ref="E44:J44" si="3">E5</f>
        <v>61336.142615275174</v>
      </c>
      <c r="F44" s="5">
        <f t="shared" si="3"/>
        <v>68151.332808290463</v>
      </c>
      <c r="G44" s="5">
        <f t="shared" si="3"/>
        <v>74675.147520263927</v>
      </c>
      <c r="H44" s="5">
        <f t="shared" si="3"/>
        <v>80707.750504297845</v>
      </c>
      <c r="I44" s="5">
        <f t="shared" si="3"/>
        <v>86074.933779712155</v>
      </c>
      <c r="J44" s="5">
        <f t="shared" si="3"/>
        <v>89690.080998460064</v>
      </c>
    </row>
    <row r="45" spans="1:40" x14ac:dyDescent="0.25">
      <c r="A45" t="s">
        <v>137</v>
      </c>
      <c r="B45" t="s">
        <v>141</v>
      </c>
      <c r="D45" s="5"/>
      <c r="E45" s="5">
        <f>(E10)*-1</f>
        <v>-147724.33960252823</v>
      </c>
      <c r="F45" s="5">
        <f>(F10)*-1</f>
        <v>-153836.07567006329</v>
      </c>
      <c r="G45" s="5">
        <f>(G10)*-1</f>
        <v>-157931.21475334401</v>
      </c>
      <c r="H45" s="5">
        <f>(H10)*-1</f>
        <v>-160121.85287544661</v>
      </c>
      <c r="I45" s="5">
        <f>(I10)*-1</f>
        <v>-160754.37298470171</v>
      </c>
      <c r="J45" s="5">
        <f>-J10</f>
        <v>-89690.080998460064</v>
      </c>
    </row>
    <row r="46" spans="1:40" x14ac:dyDescent="0.25">
      <c r="A46" t="s">
        <v>142</v>
      </c>
      <c r="B46" t="s">
        <v>143</v>
      </c>
      <c r="D46" s="5"/>
      <c r="E46" s="5">
        <f t="shared" ref="E46:J46" si="4">E17</f>
        <v>-90822.47974806407</v>
      </c>
      <c r="F46" s="5">
        <f t="shared" si="4"/>
        <v>-107811.3451420581</v>
      </c>
      <c r="G46" s="5">
        <f t="shared" si="4"/>
        <v>-134641.17665980244</v>
      </c>
      <c r="H46" s="5">
        <f t="shared" si="4"/>
        <v>-168147.8552043791</v>
      </c>
      <c r="I46" s="5">
        <f t="shared" si="4"/>
        <v>-209992.97474406319</v>
      </c>
      <c r="J46" s="5">
        <f t="shared" si="4"/>
        <v>-35440.559983680745</v>
      </c>
    </row>
    <row r="47" spans="1:40" x14ac:dyDescent="0.25">
      <c r="B47" s="1" t="s">
        <v>145</v>
      </c>
      <c r="D47" s="5"/>
      <c r="E47" s="5">
        <f>SUM(E42:E46)</f>
        <v>-46563.60824146244</v>
      </c>
      <c r="F47" s="5">
        <f t="shared" ref="F47:I47" si="5">SUM(F42:F46)</f>
        <v>-30336.31102499587</v>
      </c>
      <c r="G47" s="5">
        <f t="shared" si="5"/>
        <v>-14133.675902565708</v>
      </c>
      <c r="H47" s="5">
        <f t="shared" si="5"/>
        <v>6910.0232579004078</v>
      </c>
      <c r="I47" s="5">
        <f t="shared" si="5"/>
        <v>33127.228391161625</v>
      </c>
      <c r="J47" s="5">
        <f>SUM(J42:J46)</f>
        <v>295706.66733482259</v>
      </c>
    </row>
    <row r="48" spans="1:40" x14ac:dyDescent="0.25">
      <c r="D48" s="5"/>
      <c r="E48" s="5"/>
      <c r="F48" s="5"/>
      <c r="G48" s="5"/>
      <c r="H48" s="5"/>
      <c r="I48" s="5"/>
    </row>
    <row r="49" spans="1:40" x14ac:dyDescent="0.25">
      <c r="B49" t="s">
        <v>231</v>
      </c>
      <c r="D49" s="9">
        <v>4.2000000000000003E-2</v>
      </c>
      <c r="F49" s="48" t="s">
        <v>232</v>
      </c>
    </row>
    <row r="50" spans="1:40" x14ac:dyDescent="0.25">
      <c r="B50" t="s">
        <v>230</v>
      </c>
      <c r="D50" s="5">
        <f>(J47)/(D38-D49)</f>
        <v>10048791.294477301</v>
      </c>
      <c r="E50" s="5"/>
      <c r="F50" s="5"/>
      <c r="G50" s="5"/>
      <c r="H50" s="5"/>
      <c r="I50" s="5"/>
    </row>
    <row r="51" spans="1:40" x14ac:dyDescent="0.25">
      <c r="D51" s="5"/>
      <c r="E51" s="5"/>
      <c r="F51" s="5"/>
      <c r="G51" s="5"/>
      <c r="H51" s="5"/>
      <c r="I51" s="5"/>
    </row>
    <row r="52" spans="1:40" x14ac:dyDescent="0.25">
      <c r="B52" s="1" t="s">
        <v>226</v>
      </c>
      <c r="C52" s="1"/>
      <c r="D52" s="6">
        <f>NPV(D38,E47:I47)+D50/(1+D38)^5</f>
        <v>7064390.3713682396</v>
      </c>
    </row>
    <row r="53" spans="1:40" x14ac:dyDescent="0.25">
      <c r="B53" t="s">
        <v>233</v>
      </c>
      <c r="D53" s="5">
        <f>-D23</f>
        <v>-426883</v>
      </c>
    </row>
    <row r="54" spans="1:40" x14ac:dyDescent="0.25">
      <c r="B54" t="s">
        <v>234</v>
      </c>
      <c r="D54" s="5">
        <f>'3-Statement'!F61</f>
        <v>58785</v>
      </c>
    </row>
    <row r="55" spans="1:40" x14ac:dyDescent="0.25">
      <c r="B55" s="1" t="s">
        <v>235</v>
      </c>
      <c r="D55" s="5">
        <f>D52+D53+D54</f>
        <v>6696292.3713682396</v>
      </c>
    </row>
    <row r="56" spans="1:40" x14ac:dyDescent="0.25">
      <c r="B56" t="s">
        <v>236</v>
      </c>
      <c r="D56" s="35">
        <f>D55/D33</f>
        <v>1.6004522876119121</v>
      </c>
    </row>
    <row r="59" spans="1:40" s="14" customFormat="1" x14ac:dyDescent="0.25">
      <c r="A59" s="12" t="s">
        <v>25</v>
      </c>
      <c r="B59" s="15" t="s">
        <v>250</v>
      </c>
      <c r="C59" s="15"/>
      <c r="D59" s="13"/>
      <c r="E59" s="13"/>
      <c r="F59" s="13"/>
      <c r="G59" s="13"/>
      <c r="H59" s="13"/>
      <c r="I59" s="13"/>
      <c r="J59" s="13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</row>
    <row r="61" spans="1:40" ht="30" x14ac:dyDescent="0.25">
      <c r="B61" s="49" t="s">
        <v>246</v>
      </c>
      <c r="C61" s="49" t="s">
        <v>247</v>
      </c>
      <c r="D61" s="49" t="s">
        <v>248</v>
      </c>
      <c r="E61" s="49" t="s">
        <v>249</v>
      </c>
    </row>
    <row r="62" spans="1:40" x14ac:dyDescent="0.25">
      <c r="B62" s="52">
        <v>23.9</v>
      </c>
      <c r="C62" s="50">
        <f>($I$6*B62)-'3-Statement'!$K$91+'3-Statement'!$K$61</f>
        <v>9520011.5081108995</v>
      </c>
      <c r="D62" s="51">
        <f>C62/$D$33</f>
        <v>2.27533735853511</v>
      </c>
      <c r="E62" s="9">
        <f>(D62)^(1/5)-1</f>
        <v>0.17871594783005151</v>
      </c>
    </row>
    <row r="63" spans="1:40" x14ac:dyDescent="0.25">
      <c r="B63" s="52">
        <v>22.27</v>
      </c>
      <c r="C63" s="50">
        <f>($I$6*B63)-'3-Statement'!$K$91+'3-Statement'!$K$61</f>
        <v>8825606.6060908698</v>
      </c>
      <c r="D63" s="51">
        <f t="shared" ref="D63:D65" si="6">C63/$D$33</f>
        <v>2.1093706037502078</v>
      </c>
      <c r="E63" s="9">
        <f t="shared" ref="E63:E65" si="7">(D63)^(1/5)-1</f>
        <v>0.1609956108129118</v>
      </c>
    </row>
    <row r="64" spans="1:40" x14ac:dyDescent="0.25">
      <c r="B64" s="52">
        <v>12.09</v>
      </c>
      <c r="C64" s="50">
        <f>($I$6*B64)-'3-Statement'!$K$91+'3-Statement'!$K$61</f>
        <v>4488771.0830455301</v>
      </c>
      <c r="D64" s="51">
        <f t="shared" si="6"/>
        <v>1.0728420370567711</v>
      </c>
      <c r="E64" s="9">
        <f t="shared" si="7"/>
        <v>1.4161585824210343E-2</v>
      </c>
    </row>
    <row r="65" spans="2:5" x14ac:dyDescent="0.25">
      <c r="B65" s="52">
        <f>D50/J6</f>
        <v>22.637107529009413</v>
      </c>
      <c r="C65" s="50">
        <f>($I$6*B65)-'3-Statement'!$K$91+'3-Statement'!$K$61</f>
        <v>8982000.0218654685</v>
      </c>
      <c r="D65" s="51">
        <f t="shared" si="6"/>
        <v>2.1467495272145003</v>
      </c>
      <c r="E65" s="9">
        <f t="shared" si="7"/>
        <v>0.16508141659779696</v>
      </c>
    </row>
  </sheetData>
  <hyperlinks>
    <hyperlink ref="F27" r:id="rId1" xr:uid="{D3BEB881-6CF9-4E42-B562-26EA5BDE6B56}"/>
    <hyperlink ref="F33" r:id="rId2" xr:uid="{3070AA1E-B484-4020-AEB9-17331B06A107}"/>
    <hyperlink ref="F49" r:id="rId3" xr:uid="{3B97C33F-7C63-44B7-8F98-6A4ECB2549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</vt:lpstr>
      <vt:lpstr>Grouping OR Separating</vt:lpstr>
      <vt:lpstr>3-Statement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Kan</dc:creator>
  <cp:lastModifiedBy>Brian Kan</cp:lastModifiedBy>
  <dcterms:created xsi:type="dcterms:W3CDTF">2026-07-26T08:51:39Z</dcterms:created>
  <dcterms:modified xsi:type="dcterms:W3CDTF">2026-08-16T15:52:16Z</dcterms:modified>
</cp:coreProperties>
</file>